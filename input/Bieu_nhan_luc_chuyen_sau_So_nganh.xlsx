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 I - Biểu 01" sheetId="1" r:id="rId5"/>
    <sheet state="visible" name="PL II - Biểu 02" sheetId="2" r:id="rId6"/>
    <sheet state="visible" name="PL III - Biểu 03" sheetId="3" r:id="rId7"/>
    <sheet state="visible" name="PL IV - Khó khăn, kiến nghị" sheetId="4" r:id="rId8"/>
    <sheet state="hidden" name="DanhMuc" sheetId="5" r:id="rId9"/>
  </sheets>
  <definedNames>
    <definedName name="NhomVanDe">DanhMuc!$A$1:$A$10</definedName>
  </definedNames>
  <calcPr/>
</workbook>
</file>

<file path=xl/sharedStrings.xml><?xml version="1.0" encoding="utf-8"?>
<sst xmlns="http://schemas.openxmlformats.org/spreadsheetml/2006/main" count="366" uniqueCount="180">
  <si>
    <t>Phụ lục IV</t>
  </si>
  <si>
    <t>Phụ lục II</t>
  </si>
  <si>
    <t>Phụ lục I</t>
  </si>
  <si>
    <t>Phụ lục III</t>
  </si>
  <si>
    <t>KHÓ KHĂN, VƯỚNG MẮC VÀ KIẾN NGHỊ VỀ THU HÚT, SỬ DỤNG NHÂN LỰC CHUYÊN SÂU
VỀ AI, BÁN DẪN, DỮ LIỆU, AN NINH MẠNG VÀ CÔNG NGHỆ CHIẾN LƯỢC</t>
  </si>
  <si>
    <t>(Kèm theo Công văn số        /SNV-CCVC ngày      tháng      năm 2026 của Sở Nội vụ tỉnh Điện Biên)</t>
  </si>
  <si>
    <t>HIỆN TRẠNG NHÂN LỰC CHUYÊN SÂU VỀ AI, BÁN DẪN, DỮ LIỆU,
AN NINH MẠNG VÀ CÔNG NGHỆ CHIẾN LƯỢC</t>
  </si>
  <si>
    <t>NHU CẦU ĐÀO TẠO, BỒI DƯỠNG NÂNG CAO NĂNG LỰC ĐỘI NGŨ NHÂN LỰC CHUYÊN SÂU HIỆN CÓ
VỀ AI, BÁN DẪN, DỮ LIỆU, AN NINH MẠNG VÀ CÔNG NGHỆ CHIẾN LƯỢC GIAI ĐOẠN TỪ NAY ĐẾN NĂM 2030</t>
  </si>
  <si>
    <t>NHU CẦU NHÂN LỰC CHUYÊN SÂU VỀ AI, BÁN DẪN, DỮ LIỆU, AN NINH MẠNG
VÀ CÔNG NGHỆ CHIẾN LƯỢC CẦN BỔ SUNG GIAI ĐOẠN TỪ NAY ĐẾN HẾT NĂM 2030</t>
  </si>
  <si>
    <t>(Dùng cho các sở, ban, ngành và đơn vị sự nghiệp thuộc UBND tỉnh)</t>
  </si>
  <si>
    <t>Tên cơ quan, đơn vị báo cáo: ....................................................................................</t>
  </si>
  <si>
    <t>Hướng dẫn ghi biểu:</t>
  </si>
  <si>
    <t>1. Cách kê: biểu đã có sẵn tên tất cả các cơ quan, đơn vị; mỗi cơ quan, đơn vị kê tại các dòng 1, 2, 3… ngay dưới dòng tên cơ quan, đơn vị mình, mỗi khó khăn, vướng mắc một dòng, cột (2) chọn nhóm vấn đề từ danh sách thả xuống gồm 10 nhóm: vị trí việc làm; biên chế, số người làm việc; tiêu chuẩn, điều kiện; quy trình tuyển chọn; chế độ đãi ngộ, chính sách thu hút; kinh phí; bảo mật, an toàn thông tin; quản lý, chia sẻ dữ liệu; sở hữu trí tuệ; nội dung khác. Một nhóm vấn đề có nhiều khó khăn thì kê thành nhiều dòng. Cần thêm dòng thì chèn vào giữa các dòng đã có của cơ quan, đơn vị mình; dòng không dùng thì để trống; không sửa, xóa khối của cơ quan, đơn vị khác. Không có khó khăn, vướng mắc thì ghi "Không có" tại dòng đầu tiên của cơ quan, đơn vị mình.</t>
  </si>
  <si>
    <t>2. Cột (3) nêu cụ thể khó khăn, vướng mắc thực tế đã gặp trong quá trình tuyển dụng, sử dụng, giữ chân, đào tạo, bồi dưỡng nhân lực chuyên sâu; khó khăn, vướng mắc phải gắn với trường hợp, nhiệm vụ hoặc nhu cầu nhân lực cụ thể đã phản ánh tại Phụ lục I, II, III (nếu có) và dẫn chiếu tại cột (4).</t>
  </si>
  <si>
    <t>Biểu số 03. NHU CẦU ĐÀO TẠO, BỒI DƯỠNG THEO ĐƠN VỊ, VỊ TRÍ VIỆC LÀM</t>
  </si>
  <si>
    <t>Biểu số 02. NHU CẦU NHÂN LỰC CẦN BỔ SUNG THEO ĐƠN VỊ, VỊ TRÍ VIỆC LÀM, NHIỆM VỤ, DỰ ÁN VÀ LĨNH VỰC</t>
  </si>
  <si>
    <t>3. Cột (5) chọn từ danh sách: "Quy định pháp luật" (vướng mắc do quy định chưa có, chưa rõ, chưa phù hợp hoặc mâu thuẫn, chồng chéo) hoặc "Tổ chức thực hiện" (vướng mắc trong quá trình triển khai, phối hợp, nguồn lực, năng lực thực thi).</t>
  </si>
  <si>
    <t>4. Cột (6) ghi rõ tên, số hiệu văn bản, điều khoản đang gây vướng mắc hoặc còn thiếu quy định. Cột (7) nêu giải pháp đề xuất cụ thể. Cột (8) chọn cơ quan được kiến nghị xử lý (Chính phủ, Bộ Nội vụ, Bộ Khoa học và Công nghệ, Bộ Tài chính, UBND tỉnh, cơ quan khác).</t>
  </si>
  <si>
    <t>5. Mô hình, cách làm hiệu quả của cơ quan, đơn vị trong thu hút, sử dụng, phát triển nhân lực chuyên sâu (nếu có) đề nghị nêu thành nội dung riêng trong văn bản báo cáo.</t>
  </si>
  <si>
    <t>1. Đối tượng: công chức, viên chức thuộc đối tượng thống kê tại Phụ lục I, ưu tiên người được đánh giá "Không đáp ứng" tại cột (6) Biểu số 01 và nhân lực cần nâng cao năng lực để đảm nhiệm nhiệm vụ mới, khó, phức tạp đến năm 2030.</t>
  </si>
  <si>
    <t>Biểu số 01. HIỆN TRẠNG NHÂN LỰC THEO ĐƠN VỊ, VỊ TRÍ VIỆC LÀM VÀ LĨNH VỰC</t>
  </si>
  <si>
    <t>1. Nguyên tắc xác định nhu cầu: nhu cầu nhân lực là số lượng nhân lực cần bổ sung để thực hiện chức năng, nhiệm vụ, chương trình, đề án, dự án và vị trí việc làm của cơ quan, đơn vị đến hết năm 2030, được xác định trên cơ sở đối chiếu giữa yêu cầu nhân lực để thực hiện nhiệm vụ đến hết năm 2030 với số nhân lực hiện có đáp ứng yêu cầu nhiệm vụ tại Biểu số 01; bảo đảm không trùng lặp giữa nhân lực hiện có và nhân lực đề nghị bổ sung. Nhu cầu phải gắn với vị trí việc làm đã được phê duyệt hoặc nhiệm vụ, dự án, đề án cụ thể đã được giao; không kê nhu cầu chung chung.</t>
  </si>
  <si>
    <t>TT</t>
  </si>
  <si>
    <t>(Số liệu tính đến ngày 31/8/2026)</t>
  </si>
  <si>
    <t>2. Cách kê: biểu đã có sẵn tên tất cả các cơ quan, đơn vị; mỗi cơ quan, đơn vị kê tại các dòng 1, 2, 3… ngay dưới dòng tên cơ quan, đơn vị mình, cột (2) ghi từng vị trí việc làm, đối tượng cần đào tạo, bồi dưỡng (mỗi vị trí việc làm, đối tượng có cùng nội dung đào tạo, bồi dưỡng một dòng), cột (4) ghi số người. Dòng tên cơ quan, đơn vị có công thức tự tính, không nhập số liệu, không xóa. Cần thêm dòng thì chèn vào giữa các dòng đã có của cơ quan, đơn vị mình (không chèn sát dòng tên cơ quan, đơn vị) để công thức tự mở rộng; dòng không dùng thì để trống; không sửa, xóa khối của cơ quan, đơn vị khác. Không có nhu cầu thì ghi "Không có" tại dòng đầu tiên của cơ quan, đơn vị mình.</t>
  </si>
  <si>
    <t>2. Cách kê: biểu đã có sẵn tên tất cả các cơ quan, đơn vị; mỗi cơ quan, đơn vị kê tại các dòng 1, 2, 3… ngay dưới dòng tên cơ quan, đơn vị mình, cột (2) ghi từng vị trí việc làm hoặc nhiệm vụ, dự án cụ thể cần bổ sung nhân lực, mỗi vị trí việc làm, nhiệm vụ, dự án một dòng. Dòng tên cơ quan, đơn vị có công thức tự tính, không nhập số liệu, không xóa. Cần thêm dòng thì chèn vào giữa các dòng đã có của cơ quan, đơn vị mình (không chèn sát dòng tên cơ quan, đơn vị) để công thức tự mở rộng; dòng không dùng thì để trống; không sửa, xóa khối của cơ quan, đơn vị khác. Không có nhu cầu thì ghi "Không có" tại dòng đầu tiên của cơ quan, đơn vị mình.</t>
  </si>
  <si>
    <t>3. Nhu cầu đào tạo, bồi dưỡng phải gắn với nhiệm vụ, vị trí việc làm cụ thể, nhằm phát huy tối đa nội lực, giảm áp lực phụ thuộc vào nguồn tuyển dụng đối với các chuyên ngành còn hạn chế; trường hợp nhu cầu đào tạo có thể thay thế một phần nhu cầu bổ sung nhân lực tại Phụ lục II thì ghi rõ tại cột Ghi chú.</t>
  </si>
  <si>
    <t>Nhóm vấn đề</t>
  </si>
  <si>
    <t>4. Cột (3) chọn lĩnh vực; cột (6) chọn hình thức; cột (9) chọn Trong nước/Nước ngoài từ danh sách thả xuống. Cột (5) nêu cụ thể nội dung, năng lực, kỹ năng cần đào tạo, bồi dưỡng (ví dụ: học sâu, mô hình ngôn ngữ lớn, thiết kế vi mạch, quản trị dữ liệu lớn, điều tra ứng phó sự cố an ninh mạng…). Cột (10) ghi kinh phí dự kiến và nguồn kinh phí (ngân sách nhà nước; nguồn thu sự nghiệp; chương trình, đề án; tài trợ, hợp tác quốc tế…).</t>
  </si>
  <si>
    <t>3. Cột (3) ghi rõ tên, số hiệu văn bản giao nhiệm vụ, quyết định phê duyệt vị trí việc làm, chương trình, đề án, dự án làm căn cứ xác định nhu cầu. Cột (4) chọn lĩnh vực từ danh sách thả xuống. Cột (5) ghi số người hiện có cùng vị trí việc làm được đánh giá "Đáp ứng" tại cột (6) Biểu số 01. Cột (6) ghi số người cần bổ sung đến hết năm 2030.</t>
  </si>
  <si>
    <t>Nội dung khó khăn, vướng mắc (mô tả cụ thể, kèm ví dụ nếu có)</t>
  </si>
  <si>
    <t>1. Đối tượng thống kê: công chức, viên chức đang trực tiếp thực hiện nhiệm vụ chuyên sâu về AI, bán dẫn, dữ liệu, an ninh mạng và công nghệ chiến lược tại cơ quan, đơn vị và các đơn vị trực thuộc. Không thống kê người chỉ làm công tác hành chính, quản lý chung; người chỉ sử dụng công nghệ như công cụ hỗ trợ công việc thông thường hoặc thực hiện các nhiệm vụ công nghệ thông tin thông thường (quản trị mạng nội bộ, hỗ trợ kỹ thuật, văn phòng điện tử…).</t>
  </si>
  <si>
    <t>4. Cột (7) đến (11) ghi số người cần bố trí trong từng năm (số phát sinh trong năm, không phải số lũy kế); tổng các năm bằng cột (6).</t>
  </si>
  <si>
    <t>Trường hợp, nhiệm vụ, nhu cầu nhân lực cụ thể có liên quan (dẫn chiếu Phụ lục I, II, III)</t>
  </si>
  <si>
    <t>5. Cột (12) đến (20): lựa chọn trường hợp nào thì ghi "x" vào ô đó; trong mỗi nhóm cột chỉ ghi "x" vào một ô, áp dụng cho toàn bộ số người tại cột (6) của dòng. Trường hợp cùng một vị trí việc làm nhưng khác hình thức sử dụng, mức độ ưu tiên hoặc nguồn kinh phí thì tách thành nhiều dòng.</t>
  </si>
  <si>
    <t>2. Cách kê: biểu đã có sẵn tên tất cả các cơ quan, đơn vị; mỗi cơ quan, đơn vị kê tại các dòng 1, 2, 3… ngay dưới dòng tên cơ quan, đơn vị mình, mỗi người một dòng (phòng, ban, đơn vị trực thuộc nơi người đó công tác ghi tại cột Ghi chú). Dòng tên cơ quan, đơn vị có công thức tự tính, không nhập số liệu, không xóa. Cần thêm dòng thì chèn vào giữa các dòng đã có của cơ quan, đơn vị mình (không chèn sát dòng tên cơ quan, đơn vị) để công thức tự mở rộng; dòng không dùng thì để trống; không sửa, xóa khối của cơ quan, đơn vị khác. Không có nhân lực thuộc đối tượng thống kê thì ghi "Không có" tại dòng đầu tiên của cơ quan, đơn vị mình.</t>
  </si>
  <si>
    <t>Loại vướng mắc (quy định pháp luật/ tổ chức thực hiện)</t>
  </si>
  <si>
    <t xml:space="preserve">   - Hình thức sử dụng – cột (12) đến (14): "Tuyển dụng, bố trí lâu dài" (tuyển dụng công chức, viên chức); "Hợp đồng chuyên gia, có thời hạn" (hợp đồng thực hiện nhiệm vụ chuyên môn, hợp đồng với chuyên gia trong và ngoài nước); "Biệt phái, huy động, khác" (biệt phái, điều động, huy động chuyên gia từ doanh nghiệp, viện, trường…).</t>
  </si>
  <si>
    <t>3. Cột (3) ghi ngày tháng năm sinh theo dạng ngày/tháng/năm (ví dụ: 05/3/1990). Cột (5) chọn lĩnh vực từ danh sách thả xuống; mỗi người chỉ thống kê vào một lĩnh vực chính đang đảm nhiệm. "Công nghệ chiến lược khác" thống kê theo Danh mục công nghệ chiến lược và sản phẩm công nghệ chiến lược do Thủ tướng Chính phủ ban hành và các văn bản sửa đổi, bổ sung (nếu có); không tự xác định hoặc mở rộng phạm vi ngoài Danh mục (ghi rõ tên công nghệ tại cột Ghi chú).</t>
  </si>
  <si>
    <t>Quy định, văn bản có liên quan (tên, số hiệu, điều khoản)</t>
  </si>
  <si>
    <t>Vị trí việc làm, đối tượng cần đào tạo, bồi dưỡng</t>
  </si>
  <si>
    <t>Đề xuất giải pháp</t>
  </si>
  <si>
    <t>4. Cột (6) chọn "Đáp ứng" hoặc "Không đáp ứng": "Đáp ứng" là người đáp ứng đầy đủ yêu cầu về trình độ, chuyên ngành, năng lực, kinh nghiệm của nhiệm vụ chuyên sâu, vị trí việc làm đang đảm nhiệm theo đánh giá của cơ quan, đơn vị. Đây là căn cứ để xác định nhu cầu nhân lực cần bổ sung tại Biểu số 02 và nhu cầu đào tạo, bồi dưỡng tại Biểu số 03.</t>
  </si>
  <si>
    <t xml:space="preserve">   - Mức độ ưu tiên – cột (15) đến (17): Mức 1 – rất cấp thiết, cần bố trí ngay trong năm 2026–2027, nếu không bố trí sẽ ảnh hưởng trực tiếp đến tiến độ nhiệm vụ được giao; Mức 2 – cấp thiết, cần bố trí trong giai đoạn 2027–2028; Mức 3 – cần thiết, có thể bố trí trong giai đoạn 2029–2030.</t>
  </si>
  <si>
    <t>Lĩnh vực chuyên sâu</t>
  </si>
  <si>
    <t>Cơ quan có thẩm quyền xử lý</t>
  </si>
  <si>
    <t xml:space="preserve">   - Nguồn kinh phí – cột (18) đến (20): ngân sách nhà nước; nguồn thu sự nghiệp của đơn vị; nguồn khác (kinh phí chương trình, đề án, dự án, tài trợ…).</t>
  </si>
  <si>
    <t>5. Từ cột (7) đến cột (17): người thuộc trường hợp nào thì ghi "x" vào ô đó; trong mỗi nhóm cột, mỗi người chỉ ghi "x" vào một ô. Đối tượng – cột (7) đến (9): công chức; viên chức hưởng lương từ ngân sách nhà nước; viên chức hưởng lương từ nguồn thu sự nghiệp của đơn vị. Trình độ chuyên môn – cột (10) đến (13): trình độ cao nhất đã được cấp bằng. Kinh nghiệm – cột (14) đến (17): số năm làm việc thực tế trong lĩnh vực chuyên sâu (kể cả thời gian công tác tại khu vực ngoài nhà nước), không phải thâm niên công tác nói chung.</t>
  </si>
  <si>
    <t>Ghi chú</t>
  </si>
  <si>
    <t>Số lượng (người)</t>
  </si>
  <si>
    <t>Ý kiến của Sở Khoa học và Công nghệ (Nhất trí/không nhất tri/ý kiến khác)</t>
  </si>
  <si>
    <t>6. Cột (18) ghi chuyên ngành đào tạo và chứng chỉ, năng lực chuyên môn nổi bật (nếu có); cột (19) nêu tóm tắt nhiệm vụ, hệ thống, sản phẩm chuyên sâu đang trực tiếp đảm nhiệm (ví dụ: vận hành trung tâm dữ liệu, xây dựng mô hình phân tích, giám sát an ninh mạng…); cột (20) ghi tên, số hiệu văn bản giao nhiệm vụ chuyên môn hoặc quyết định phê duyệt vị trí việc làm.</t>
  </si>
  <si>
    <t>6. Cột (21) nêu yêu cầu về trình độ đào tạo, chuyên ngành; năng lực, kỹ năng cốt lõi cần có (ví dụ: học máy, xử lý ngôn ngữ tự nhiên, thiết kế vi mạch, kiến trúc dữ liệu, kiểm thử xâm nhập, quản trị hệ thống…) và số năm kinh nghiệm tối thiểu trong lĩnh vực. Cột (22) ghi "Lâu dài" đối với nhu cầu tuyển dụng, bố trí ổn định; ghi số tháng đối với nhu cầu theo nhiệm vụ, dự án có thời hạn.</t>
  </si>
  <si>
    <t>Nội dung, năng lực, kỹ năng cần đào tạo, bồi dưỡng</t>
  </si>
  <si>
    <t>7. Dòng tên cơ quan, đơn vị tự tính: cột (3) là số người; cột (6) là số người "Đáp ứng"; cột (7) đến (17) là số người được ghi "x". Cột "Kiểm tra số liệu" (bên phải biểu, không in) báo "Lệch" khi một nhóm cột chưa ghi "x" hoặc ghi "x" nhiều hơn một ô, hoặc cột (6) để trống; đơn vị rà soát hết cảnh báo trước khi gửi. Số liệu phải được đối chiếu với danh mục vị trí việc làm đã được phê duyệt, danh sách công chức, viên chức, quyết định giao nhiệm vụ chuyên môn và hồ sơ có liên quan.</t>
  </si>
  <si>
    <t>7. Dòng tên cơ quan, đơn vị tự tính: cột (5) đến (11) là tổng số người của cơ quan, đơn vị; cột (12) đến (20) là tổng số người tại cột (6) của các dòng được ghi "x". Cột "Kiểm tra số liệu" (bên phải biểu, không in) báo "Lệch" khi tổng cột (7)–(11) khác cột (6), hoặc một nhóm cột chưa ghi "x"/ghi "x" nhiều hơn một ô; đơn vị rà soát hết cảnh báo trước khi gửi.</t>
  </si>
  <si>
    <t>Hình thức (đào tạo sau đại học; bồi dưỡng ngắn hạn; chứng chỉ quốc tế; thực tập, làm việc tại doanh nghiệp, viện, trường; khác)</t>
  </si>
  <si>
    <t>Trình độ, chứng chỉ dự kiến đạt được</t>
  </si>
  <si>
    <t>(1)</t>
  </si>
  <si>
    <t>Thời gian thực hiện (năm)</t>
  </si>
  <si>
    <t>Vị trí việc làm hoặc nhiệm vụ, dự án cụ thể cần bổ sung nhân lực</t>
  </si>
  <si>
    <t>(2)</t>
  </si>
  <si>
    <t>(3)</t>
  </si>
  <si>
    <t>(4)</t>
  </si>
  <si>
    <t>Địa điểm (trong nước/ nước ngoài)</t>
  </si>
  <si>
    <t>Họ và tên</t>
  </si>
  <si>
    <t>(5)</t>
  </si>
  <si>
    <t>(6)</t>
  </si>
  <si>
    <t>(7)</t>
  </si>
  <si>
    <t>Căn cứ xác định nhu cầu (văn bản giao nhiệm vụ, QĐ phê duyệt VTVL, chương trình, đề án, dự án)</t>
  </si>
  <si>
    <t>(8)</t>
  </si>
  <si>
    <t>(9)</t>
  </si>
  <si>
    <t>Kinh phí dự kiến (triệu đồng) và nguồn kinh phí</t>
  </si>
  <si>
    <t>C1</t>
  </si>
  <si>
    <t>Ngày tháng năm sinh</t>
  </si>
  <si>
    <t>Nhiệm vụ, vị trí việc làm sẽ đảm nhiệm sau đào tạo</t>
  </si>
  <si>
    <t>Văn phòng UBND tỉnh</t>
  </si>
  <si>
    <t>Vị trí việc làm</t>
  </si>
  <si>
    <t>Số hiện có đáp ứng yêu cầu (theo Biểu số 01)</t>
  </si>
  <si>
    <t>Có đáp ứng yêu cầu VTVL không (Đáp ứng/ Không đáp ứng)</t>
  </si>
  <si>
    <t>Số cần bổ sung đến hết 2030 (người)</t>
  </si>
  <si>
    <t>Phân theo đối tượng</t>
  </si>
  <si>
    <t>Phân theo thời điểm cần bố trí (số phát sinh trong năm)</t>
  </si>
  <si>
    <t>Phân theo trình độ chuyên môn</t>
  </si>
  <si>
    <t>Phân theo hình thức sử dụng</t>
  </si>
  <si>
    <t>(10)</t>
  </si>
  <si>
    <t>(11)</t>
  </si>
  <si>
    <t>(12)</t>
  </si>
  <si>
    <t>Phân theo kinh nghiệm công tác trong lĩnh vực</t>
  </si>
  <si>
    <t>Phân theo mức độ ưu tiên</t>
  </si>
  <si>
    <t>Chuyên ngành đào tạo; chứng chỉ, năng lực chuyên môn nổi bật</t>
  </si>
  <si>
    <t>Phân theo nguồn kinh phí</t>
  </si>
  <si>
    <t>Nhiệm vụ chuyên sâu đang trực tiếp thực hiện</t>
  </si>
  <si>
    <t>Yêu cầu về trình độ, chuyên ngành đào tạo; năng lực, kỹ năng chính; kinh nghiệm (năm)</t>
  </si>
  <si>
    <t>Văn bản giao nhiệm vụ, quyết định phê duyệt VTVL</t>
  </si>
  <si>
    <t>Thời hạn sử dụng (lâu dài/ theo dự án – số tháng)</t>
  </si>
  <si>
    <t>C2</t>
  </si>
  <si>
    <t>Sở Nội vụ</t>
  </si>
  <si>
    <t>Công chức</t>
  </si>
  <si>
    <t>VC hưởng lương NSNN</t>
  </si>
  <si>
    <t>VC hưởng lương nguồn thu SN</t>
  </si>
  <si>
    <t>TS</t>
  </si>
  <si>
    <t>2026</t>
  </si>
  <si>
    <t>ThS</t>
  </si>
  <si>
    <t>2027</t>
  </si>
  <si>
    <t>ĐH</t>
  </si>
  <si>
    <t>2028</t>
  </si>
  <si>
    <t>Khác</t>
  </si>
  <si>
    <t>Dưới 3 năm</t>
  </si>
  <si>
    <t>2029</t>
  </si>
  <si>
    <t>3 đến dưới 5 năm</t>
  </si>
  <si>
    <t>2030</t>
  </si>
  <si>
    <t>5 đến dưới 10 năm</t>
  </si>
  <si>
    <t>Tuyển dụng, bố trí lâu dài</t>
  </si>
  <si>
    <t>10 năm trở lên</t>
  </si>
  <si>
    <t>Hợp đồng chuyên gia, có thời hạn</t>
  </si>
  <si>
    <t>Biệt phái, huy động, khác</t>
  </si>
  <si>
    <t>Mức 1</t>
  </si>
  <si>
    <t>Mức 2</t>
  </si>
  <si>
    <t>Mức 3</t>
  </si>
  <si>
    <t>NSNN</t>
  </si>
  <si>
    <t>Nguồn thu SN</t>
  </si>
  <si>
    <t>Nguồn khác</t>
  </si>
  <si>
    <t>(13)</t>
  </si>
  <si>
    <t>(14)</t>
  </si>
  <si>
    <t>(15)</t>
  </si>
  <si>
    <t>(16)</t>
  </si>
  <si>
    <t>C3</t>
  </si>
  <si>
    <t>(17)</t>
  </si>
  <si>
    <t>Sở Tư pháp</t>
  </si>
  <si>
    <t>(18)</t>
  </si>
  <si>
    <t>(19)</t>
  </si>
  <si>
    <t>(20)</t>
  </si>
  <si>
    <t>(21)</t>
  </si>
  <si>
    <t>(22)</t>
  </si>
  <si>
    <t>(23)</t>
  </si>
  <si>
    <t>C4</t>
  </si>
  <si>
    <t>Sở Tài chính</t>
  </si>
  <si>
    <t>C5</t>
  </si>
  <si>
    <t>Sở Công Thương</t>
  </si>
  <si>
    <t>C6</t>
  </si>
  <si>
    <t>Sở Nông nghiệp và Môi trường</t>
  </si>
  <si>
    <t>C7</t>
  </si>
  <si>
    <t>Sở Xây dựng</t>
  </si>
  <si>
    <t>C8</t>
  </si>
  <si>
    <t>Sở Khoa học và Công nghệ</t>
  </si>
  <si>
    <t>C9</t>
  </si>
  <si>
    <t>Sở Văn hóa, Thể thao và Du lịch</t>
  </si>
  <si>
    <t>C10</t>
  </si>
  <si>
    <t>Sở Giáo dục và Đào tạo</t>
  </si>
  <si>
    <t>C11</t>
  </si>
  <si>
    <t>Sở Y tế</t>
  </si>
  <si>
    <t>C12</t>
  </si>
  <si>
    <t>Sở Dân tộc và Tôn giáo</t>
  </si>
  <si>
    <t>C13</t>
  </si>
  <si>
    <t>Sở Ngoại vụ</t>
  </si>
  <si>
    <t>C14</t>
  </si>
  <si>
    <t>Thanh tra tỉnh</t>
  </si>
  <si>
    <t>S1</t>
  </si>
  <si>
    <t>Ban QLDA các công trình Dân dụng và Công nghiệp</t>
  </si>
  <si>
    <t>S2</t>
  </si>
  <si>
    <t>Ban QLDA các công trình Giao thông</t>
  </si>
  <si>
    <t>S3</t>
  </si>
  <si>
    <t>Ban QLDA các công trình Nông nghiệp và PTNT</t>
  </si>
  <si>
    <t>S4</t>
  </si>
  <si>
    <t>Trường Cao đẳng Điện Biên</t>
  </si>
  <si>
    <t>S5</t>
  </si>
  <si>
    <t>Trung tâm Phát triển quỹ đất tỉnh</t>
  </si>
  <si>
    <t>S6</t>
  </si>
  <si>
    <t>Trung tâm Xúc tiến Đầu tư, Thương mại và Du lịch tỉnh Điện Biên</t>
  </si>
  <si>
    <t>Biên chế, số người làm việc</t>
  </si>
  <si>
    <t>Tiêu chuẩn, điều kiện</t>
  </si>
  <si>
    <t>Quy trình tuyển chọn</t>
  </si>
  <si>
    <t>Chế độ đãi ngộ, chính sách thu hút</t>
  </si>
  <si>
    <t>Kinh phí</t>
  </si>
  <si>
    <t>Bảo mật, an toàn thông tin</t>
  </si>
  <si>
    <t>Quản lý, chia sẻ dữ liệu</t>
  </si>
  <si>
    <t>Sở hữu trí tuệ</t>
  </si>
  <si>
    <t>Nội dung khác</t>
  </si>
  <si>
    <t>Không có.</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</si>
</sst>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quot;&quot;"/>
  </numFmts>
  <fonts count="12">
    <font>
      <sz val="11.0"/>
      <color theme="1"/>
      <name val="Calibri"/>
      <scheme val="minor"/>
    </font>
    <font>
      <b/>
      <sz val="12.0"/>
      <color theme="1"/>
      <name val="Times New Roman"/>
    </font>
    <font>
      <b/>
      <sz val="13.0"/>
      <color theme="1"/>
      <name val="Times New Roman"/>
    </font>
    <font>
      <i/>
      <sz val="12.0"/>
      <color theme="1"/>
      <name val="Times New Roman"/>
    </font>
    <font>
      <b/>
      <i/>
      <sz val="12.0"/>
      <color theme="1"/>
      <name val="Times New Roman"/>
    </font>
    <font>
      <sz val="12.0"/>
      <color theme="1"/>
      <name val="Times New Roman"/>
    </font>
    <font>
      <sz val="11.0"/>
      <color theme="1"/>
      <name val="Times New Roman"/>
    </font>
    <font>
      <b/>
      <sz val="11.0"/>
      <color theme="1"/>
      <name val="Times New Roman"/>
    </font>
    <font/>
    <font>
      <i/>
      <sz val="10.0"/>
      <color theme="1"/>
      <name val="Times New Roman"/>
    </font>
    <font>
      <i/>
      <sz val="11.0"/>
      <color theme="1"/>
      <name val="Times New Roman"/>
    </font>
    <font>
      <color theme="1"/>
      <name val="Calibri"/>
      <scheme val="minor"/>
    </font>
  </fonts>
  <fills count="2">
    <fill>
      <patternFill patternType="none"/>
    </fill>
    <fill>
      <patternFill patternType="lightGray"/>
    </fill>
  </fills>
  <borders count="7">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1" numFmtId="0" xfId="0" applyAlignment="1" applyFont="1">
      <alignment shrinkToFit="0" vertical="bottom" wrapText="0"/>
    </xf>
    <xf borderId="0" fillId="0" fontId="4" numFmtId="0" xfId="0" applyAlignment="1" applyFont="1">
      <alignment shrinkToFit="0" vertical="bottom" wrapText="0"/>
    </xf>
    <xf borderId="0" fillId="0" fontId="6" numFmtId="0" xfId="0" applyAlignment="1" applyFont="1">
      <alignment horizontal="left" shrinkToFit="0" vertical="top" wrapText="1"/>
    </xf>
    <xf borderId="1" fillId="0" fontId="7" numFmtId="0" xfId="0" applyAlignment="1" applyBorder="1" applyFont="1">
      <alignment horizontal="center" shrinkToFit="0" vertical="center" wrapText="1"/>
    </xf>
    <xf borderId="2" fillId="0" fontId="8" numFmtId="0" xfId="0" applyBorder="1" applyFont="1"/>
    <xf borderId="3" fillId="0" fontId="9"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3"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3" fillId="0" fontId="6" numFmtId="0" xfId="0" applyAlignment="1" applyBorder="1" applyFont="1">
      <alignment horizontal="left" shrinkToFit="0" vertical="center" wrapText="1"/>
    </xf>
    <xf borderId="5" fillId="0" fontId="8" numFmtId="0" xfId="0" applyBorder="1" applyFont="1"/>
    <xf borderId="6" fillId="0" fontId="8" numFmtId="0" xfId="0" applyBorder="1" applyFont="1"/>
    <xf borderId="3" fillId="0" fontId="7" numFmtId="164" xfId="0" applyAlignment="1" applyBorder="1" applyFont="1" applyNumberFormat="1">
      <alignment horizontal="center" shrinkToFit="0" vertical="center" wrapText="1"/>
    </xf>
    <xf borderId="3" fillId="0" fontId="6" numFmtId="49" xfId="0" applyAlignment="1" applyBorder="1" applyFont="1" applyNumberFormat="1">
      <alignment horizontal="center" shrinkToFit="0" vertical="center" wrapText="1"/>
    </xf>
    <xf borderId="3" fillId="0" fontId="6" numFmtId="164" xfId="0" applyAlignment="1" applyBorder="1" applyFont="1" applyNumberFormat="1">
      <alignment horizontal="center" shrinkToFit="0" vertical="center" wrapText="1"/>
    </xf>
    <xf borderId="0" fillId="0" fontId="10" numFmtId="0" xfId="0" applyAlignment="1" applyFont="1">
      <alignment horizontal="center" shrinkToFit="0" vertical="center" wrapText="1"/>
    </xf>
    <xf borderId="0" fillId="0" fontId="11" numFmtId="0" xfId="0" applyFont="1"/>
    <xf borderId="3" fillId="0" fontId="6"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22.0"/>
    <col customWidth="1" min="3" max="3" width="12.0"/>
    <col customWidth="1" min="4" max="4" width="22.0"/>
    <col customWidth="1" min="5" max="5" width="16.0"/>
    <col customWidth="1" min="6" max="6" width="15.0"/>
    <col customWidth="1" min="7" max="9" width="8.0"/>
    <col customWidth="1" min="10" max="13" width="5.0"/>
    <col customWidth="1" min="14" max="17" width="6.0"/>
    <col customWidth="1" min="18" max="18" width="22.0"/>
    <col customWidth="1" min="19" max="19" width="24.0"/>
    <col customWidth="1" min="20" max="20" width="22.0"/>
    <col customWidth="1" min="21" max="21" width="12.0"/>
    <col customWidth="1" min="22" max="22" width="17.57"/>
    <col customWidth="1" min="23" max="25" width="8.71"/>
  </cols>
  <sheetData>
    <row r="1" ht="15.0" customHeight="1">
      <c r="A1" s="1" t="s">
        <v>2</v>
      </c>
    </row>
    <row r="2" ht="36.0" customHeight="1">
      <c r="A2" s="2" t="s">
        <v>6</v>
      </c>
    </row>
    <row r="3" ht="15.0" customHeight="1">
      <c r="A3" s="3" t="s">
        <v>5</v>
      </c>
    </row>
    <row r="4" ht="15.0" customHeight="1">
      <c r="A4" s="4" t="s">
        <v>9</v>
      </c>
    </row>
    <row r="5">
      <c r="A5" s="5"/>
    </row>
    <row r="6">
      <c r="A6" s="6" t="s">
        <v>10</v>
      </c>
    </row>
    <row r="7" ht="15.0" customHeight="1">
      <c r="A7" s="1" t="s">
        <v>20</v>
      </c>
    </row>
    <row r="8" ht="15.0" customHeight="1">
      <c r="A8" s="3" t="s">
        <v>23</v>
      </c>
    </row>
    <row r="9">
      <c r="A9" s="7" t="s">
        <v>11</v>
      </c>
    </row>
    <row r="10" ht="33.0" customHeight="1">
      <c r="A10" s="8" t="s">
        <v>31</v>
      </c>
    </row>
    <row r="11" ht="48.0" customHeight="1">
      <c r="A11" s="8" t="s">
        <v>35</v>
      </c>
    </row>
    <row r="12" ht="33.0" customHeight="1">
      <c r="A12" s="8" t="s">
        <v>38</v>
      </c>
    </row>
    <row r="13" ht="33.0" customHeight="1">
      <c r="A13" s="8" t="s">
        <v>42</v>
      </c>
    </row>
    <row r="14" ht="33.0" customHeight="1">
      <c r="A14" s="8" t="s">
        <v>47</v>
      </c>
    </row>
    <row r="15" ht="33.0" customHeight="1">
      <c r="A15" s="8" t="s">
        <v>51</v>
      </c>
    </row>
    <row r="16" ht="33.0" customHeight="1">
      <c r="A16" s="8" t="s">
        <v>54</v>
      </c>
    </row>
    <row r="18" ht="48.0" customHeight="1">
      <c r="A18" s="9" t="s">
        <v>22</v>
      </c>
      <c r="B18" s="9" t="s">
        <v>65</v>
      </c>
      <c r="C18" s="9" t="s">
        <v>74</v>
      </c>
      <c r="D18" s="9" t="s">
        <v>77</v>
      </c>
      <c r="E18" s="9" t="s">
        <v>44</v>
      </c>
      <c r="F18" s="9" t="s">
        <v>79</v>
      </c>
      <c r="G18" s="15" t="s">
        <v>81</v>
      </c>
      <c r="H18" s="17"/>
      <c r="I18" s="18"/>
      <c r="J18" s="15" t="s">
        <v>83</v>
      </c>
      <c r="K18" s="17"/>
      <c r="L18" s="17"/>
      <c r="M18" s="18"/>
      <c r="N18" s="15" t="s">
        <v>88</v>
      </c>
      <c r="O18" s="17"/>
      <c r="P18" s="17"/>
      <c r="Q18" s="18"/>
      <c r="R18" s="9" t="s">
        <v>90</v>
      </c>
      <c r="S18" s="9" t="s">
        <v>92</v>
      </c>
      <c r="T18" s="9" t="s">
        <v>94</v>
      </c>
      <c r="U18" s="9" t="s">
        <v>48</v>
      </c>
      <c r="V18" s="9" t="s">
        <v>50</v>
      </c>
    </row>
    <row r="19" ht="94.5" customHeight="1">
      <c r="A19" s="10"/>
      <c r="B19" s="10"/>
      <c r="C19" s="10"/>
      <c r="D19" s="10"/>
      <c r="E19" s="10"/>
      <c r="F19" s="10"/>
      <c r="G19" s="12" t="s">
        <v>98</v>
      </c>
      <c r="H19" s="12" t="s">
        <v>99</v>
      </c>
      <c r="I19" s="12" t="s">
        <v>100</v>
      </c>
      <c r="J19" s="12" t="s">
        <v>101</v>
      </c>
      <c r="K19" s="12" t="s">
        <v>103</v>
      </c>
      <c r="L19" s="12" t="s">
        <v>105</v>
      </c>
      <c r="M19" s="12" t="s">
        <v>107</v>
      </c>
      <c r="N19" s="12" t="s">
        <v>108</v>
      </c>
      <c r="O19" s="12" t="s">
        <v>110</v>
      </c>
      <c r="P19" s="12" t="s">
        <v>112</v>
      </c>
      <c r="Q19" s="12" t="s">
        <v>114</v>
      </c>
      <c r="R19" s="10"/>
      <c r="S19" s="10"/>
      <c r="T19" s="10"/>
      <c r="U19" s="10"/>
      <c r="V19" s="10"/>
    </row>
    <row r="20">
      <c r="A20" s="11" t="s">
        <v>58</v>
      </c>
      <c r="B20" s="11" t="s">
        <v>61</v>
      </c>
      <c r="C20" s="11" t="s">
        <v>62</v>
      </c>
      <c r="D20" s="11" t="s">
        <v>63</v>
      </c>
      <c r="E20" s="11" t="s">
        <v>66</v>
      </c>
      <c r="F20" s="11" t="s">
        <v>67</v>
      </c>
      <c r="G20" s="11" t="s">
        <v>68</v>
      </c>
      <c r="H20" s="11" t="s">
        <v>70</v>
      </c>
      <c r="I20" s="11" t="s">
        <v>71</v>
      </c>
      <c r="J20" s="11" t="s">
        <v>85</v>
      </c>
      <c r="K20" s="11" t="s">
        <v>86</v>
      </c>
      <c r="L20" s="11" t="s">
        <v>87</v>
      </c>
      <c r="M20" s="11" t="s">
        <v>123</v>
      </c>
      <c r="N20" s="11" t="s">
        <v>124</v>
      </c>
      <c r="O20" s="11" t="s">
        <v>125</v>
      </c>
      <c r="P20" s="11" t="s">
        <v>126</v>
      </c>
      <c r="Q20" s="11" t="s">
        <v>128</v>
      </c>
      <c r="R20" s="11" t="s">
        <v>130</v>
      </c>
      <c r="S20" s="11" t="s">
        <v>131</v>
      </c>
      <c r="T20" s="11" t="s">
        <v>132</v>
      </c>
      <c r="U20" s="11" t="s">
        <v>133</v>
      </c>
      <c r="V20" s="11"/>
    </row>
    <row r="21" ht="15.75" customHeight="1">
      <c r="A21" s="12" t="s">
        <v>73</v>
      </c>
      <c r="B21" s="13" t="s">
        <v>76</v>
      </c>
      <c r="C21" s="12" t="str">
        <f>IF(COUNTA(B22:B26)=0,"",COUNTA(B22:B26)&amp;" người")</f>
        <v/>
      </c>
      <c r="D21" s="13"/>
      <c r="E21" s="13"/>
      <c r="F21" s="19">
        <f>COUNTIF(F22:F26,"Đáp ứng")</f>
        <v>0</v>
      </c>
      <c r="G21" s="19">
        <f t="shared" ref="G21:Q21" si="1">COUNTIF(G22:G26,"x")</f>
        <v>0</v>
      </c>
      <c r="H21" s="19">
        <f t="shared" si="1"/>
        <v>0</v>
      </c>
      <c r="I21" s="19">
        <f t="shared" si="1"/>
        <v>0</v>
      </c>
      <c r="J21" s="19">
        <f t="shared" si="1"/>
        <v>0</v>
      </c>
      <c r="K21" s="19">
        <f t="shared" si="1"/>
        <v>0</v>
      </c>
      <c r="L21" s="19">
        <f t="shared" si="1"/>
        <v>0</v>
      </c>
      <c r="M21" s="19">
        <f t="shared" si="1"/>
        <v>0</v>
      </c>
      <c r="N21" s="19">
        <f t="shared" si="1"/>
        <v>0</v>
      </c>
      <c r="O21" s="19">
        <f t="shared" si="1"/>
        <v>0</v>
      </c>
      <c r="P21" s="19">
        <f t="shared" si="1"/>
        <v>0</v>
      </c>
      <c r="Q21" s="19">
        <f t="shared" si="1"/>
        <v>0</v>
      </c>
      <c r="R21" s="13"/>
      <c r="S21" s="13"/>
      <c r="T21" s="13"/>
      <c r="U21" s="13"/>
      <c r="V21" s="13"/>
    </row>
    <row r="22" ht="15.75" customHeight="1">
      <c r="A22" s="14">
        <v>1.0</v>
      </c>
      <c r="B22" s="16"/>
      <c r="C22" s="20"/>
      <c r="D22" s="16"/>
      <c r="E22" s="16"/>
      <c r="F22" s="14"/>
      <c r="G22" s="14"/>
      <c r="H22" s="14"/>
      <c r="I22" s="14"/>
      <c r="J22" s="14"/>
      <c r="K22" s="14"/>
      <c r="L22" s="14"/>
      <c r="M22" s="14"/>
      <c r="N22" s="14"/>
      <c r="O22" s="14"/>
      <c r="P22" s="14"/>
      <c r="Q22" s="14"/>
      <c r="R22" s="16"/>
      <c r="S22" s="16"/>
      <c r="T22" s="16"/>
      <c r="U22" s="16"/>
      <c r="V22" s="16" t="str">
        <f t="shared" ref="V22:V26" si="2">IF(COUNTA(B22:U22)=0,"",IF(AND(OR(F22="Đáp ứng",F22="Không đáp ứng"),COUNTIF(G22:I22,"x")=1,COUNTIF(J22:M22,"x")=1,COUNTIF(N22:Q22,"x")=1),"OK","Lệch: kiểm tra (6)-(17)"))</f>
        <v/>
      </c>
    </row>
    <row r="23" ht="15.75" customHeight="1">
      <c r="A23" s="14">
        <v>2.0</v>
      </c>
      <c r="B23" s="16"/>
      <c r="C23" s="20"/>
      <c r="D23" s="16"/>
      <c r="E23" s="16"/>
      <c r="F23" s="14"/>
      <c r="G23" s="14"/>
      <c r="H23" s="14"/>
      <c r="I23" s="14"/>
      <c r="J23" s="14"/>
      <c r="K23" s="14"/>
      <c r="L23" s="14"/>
      <c r="M23" s="14"/>
      <c r="N23" s="14"/>
      <c r="O23" s="14"/>
      <c r="P23" s="14"/>
      <c r="Q23" s="14"/>
      <c r="R23" s="16"/>
      <c r="S23" s="16"/>
      <c r="T23" s="16"/>
      <c r="U23" s="16"/>
      <c r="V23" s="16" t="str">
        <f t="shared" si="2"/>
        <v/>
      </c>
    </row>
    <row r="24" ht="15.75" customHeight="1">
      <c r="A24" s="14">
        <v>3.0</v>
      </c>
      <c r="B24" s="16"/>
      <c r="C24" s="20"/>
      <c r="D24" s="16"/>
      <c r="E24" s="16"/>
      <c r="F24" s="14"/>
      <c r="G24" s="14"/>
      <c r="H24" s="14"/>
      <c r="I24" s="14"/>
      <c r="J24" s="14"/>
      <c r="K24" s="14"/>
      <c r="L24" s="14"/>
      <c r="M24" s="14"/>
      <c r="N24" s="14"/>
      <c r="O24" s="14"/>
      <c r="P24" s="14"/>
      <c r="Q24" s="14"/>
      <c r="R24" s="16"/>
      <c r="S24" s="16"/>
      <c r="T24" s="16"/>
      <c r="U24" s="16"/>
      <c r="V24" s="16" t="str">
        <f t="shared" si="2"/>
        <v/>
      </c>
    </row>
    <row r="25" ht="15.75" customHeight="1">
      <c r="A25" s="14">
        <v>4.0</v>
      </c>
      <c r="B25" s="16"/>
      <c r="C25" s="20"/>
      <c r="D25" s="16"/>
      <c r="E25" s="16"/>
      <c r="F25" s="14"/>
      <c r="G25" s="14"/>
      <c r="H25" s="14"/>
      <c r="I25" s="14"/>
      <c r="J25" s="14"/>
      <c r="K25" s="14"/>
      <c r="L25" s="14"/>
      <c r="M25" s="14"/>
      <c r="N25" s="14"/>
      <c r="O25" s="14"/>
      <c r="P25" s="14"/>
      <c r="Q25" s="14"/>
      <c r="R25" s="16"/>
      <c r="S25" s="16"/>
      <c r="T25" s="16"/>
      <c r="U25" s="16"/>
      <c r="V25" s="16" t="str">
        <f t="shared" si="2"/>
        <v/>
      </c>
    </row>
    <row r="26" ht="15.75" customHeight="1">
      <c r="A26" s="14">
        <v>5.0</v>
      </c>
      <c r="B26" s="16"/>
      <c r="C26" s="20"/>
      <c r="D26" s="16"/>
      <c r="E26" s="16"/>
      <c r="F26" s="14"/>
      <c r="G26" s="14"/>
      <c r="H26" s="14"/>
      <c r="I26" s="14"/>
      <c r="J26" s="14"/>
      <c r="K26" s="14"/>
      <c r="L26" s="14"/>
      <c r="M26" s="14"/>
      <c r="N26" s="14"/>
      <c r="O26" s="14"/>
      <c r="P26" s="14"/>
      <c r="Q26" s="14"/>
      <c r="R26" s="16"/>
      <c r="S26" s="16"/>
      <c r="T26" s="16"/>
      <c r="U26" s="16"/>
      <c r="V26" s="16" t="str">
        <f t="shared" si="2"/>
        <v/>
      </c>
    </row>
    <row r="27" ht="15.75" customHeight="1">
      <c r="A27" s="12" t="s">
        <v>96</v>
      </c>
      <c r="B27" s="13" t="s">
        <v>97</v>
      </c>
      <c r="C27" s="12" t="str">
        <f>IF(COUNTA(B28:B32)=0,"",COUNTA(B28:B32)&amp;" người")</f>
        <v/>
      </c>
      <c r="D27" s="13"/>
      <c r="E27" s="13"/>
      <c r="F27" s="19">
        <f>COUNTIF(F28:F32,"Đáp ứng")</f>
        <v>0</v>
      </c>
      <c r="G27" s="19">
        <f t="shared" ref="G27:Q27" si="3">COUNTIF(G28:G32,"x")</f>
        <v>0</v>
      </c>
      <c r="H27" s="19">
        <f t="shared" si="3"/>
        <v>0</v>
      </c>
      <c r="I27" s="19">
        <f t="shared" si="3"/>
        <v>0</v>
      </c>
      <c r="J27" s="19">
        <f t="shared" si="3"/>
        <v>0</v>
      </c>
      <c r="K27" s="19">
        <f t="shared" si="3"/>
        <v>0</v>
      </c>
      <c r="L27" s="19">
        <f t="shared" si="3"/>
        <v>0</v>
      </c>
      <c r="M27" s="19">
        <f t="shared" si="3"/>
        <v>0</v>
      </c>
      <c r="N27" s="19">
        <f t="shared" si="3"/>
        <v>0</v>
      </c>
      <c r="O27" s="19">
        <f t="shared" si="3"/>
        <v>0</v>
      </c>
      <c r="P27" s="19">
        <f t="shared" si="3"/>
        <v>0</v>
      </c>
      <c r="Q27" s="19">
        <f t="shared" si="3"/>
        <v>0</v>
      </c>
      <c r="R27" s="13"/>
      <c r="S27" s="13"/>
      <c r="T27" s="13"/>
      <c r="U27" s="13"/>
      <c r="V27" s="13"/>
    </row>
    <row r="28" ht="15.75" customHeight="1">
      <c r="A28" s="14">
        <v>1.0</v>
      </c>
      <c r="B28" s="16"/>
      <c r="C28" s="20"/>
      <c r="D28" s="16"/>
      <c r="E28" s="16"/>
      <c r="F28" s="14"/>
      <c r="G28" s="14"/>
      <c r="H28" s="14"/>
      <c r="I28" s="14"/>
      <c r="J28" s="14"/>
      <c r="K28" s="14"/>
      <c r="L28" s="14"/>
      <c r="M28" s="14"/>
      <c r="N28" s="14"/>
      <c r="O28" s="14"/>
      <c r="P28" s="14"/>
      <c r="Q28" s="14"/>
      <c r="R28" s="16"/>
      <c r="S28" s="16"/>
      <c r="T28" s="16"/>
      <c r="U28" s="16"/>
      <c r="V28" s="16" t="str">
        <f t="shared" ref="V28:V32" si="4">IF(COUNTA(B28:U28)=0,"",IF(AND(OR(F28="Đáp ứng",F28="Không đáp ứng"),COUNTIF(G28:I28,"x")=1,COUNTIF(J28:M28,"x")=1,COUNTIF(N28:Q28,"x")=1),"OK","Lệch: kiểm tra (6)-(17)"))</f>
        <v/>
      </c>
    </row>
    <row r="29" ht="15.75" customHeight="1">
      <c r="A29" s="14">
        <v>2.0</v>
      </c>
      <c r="B29" s="16"/>
      <c r="C29" s="20"/>
      <c r="D29" s="16"/>
      <c r="E29" s="16"/>
      <c r="F29" s="14"/>
      <c r="G29" s="14"/>
      <c r="H29" s="14"/>
      <c r="I29" s="14"/>
      <c r="J29" s="14"/>
      <c r="K29" s="14"/>
      <c r="L29" s="14"/>
      <c r="M29" s="14"/>
      <c r="N29" s="14"/>
      <c r="O29" s="14"/>
      <c r="P29" s="14"/>
      <c r="Q29" s="14"/>
      <c r="R29" s="16"/>
      <c r="S29" s="16"/>
      <c r="T29" s="16"/>
      <c r="U29" s="16"/>
      <c r="V29" s="16" t="str">
        <f t="shared" si="4"/>
        <v/>
      </c>
    </row>
    <row r="30" ht="15.75" customHeight="1">
      <c r="A30" s="14">
        <v>3.0</v>
      </c>
      <c r="B30" s="16"/>
      <c r="C30" s="20"/>
      <c r="D30" s="16"/>
      <c r="E30" s="16"/>
      <c r="F30" s="14"/>
      <c r="G30" s="14"/>
      <c r="H30" s="14"/>
      <c r="I30" s="14"/>
      <c r="J30" s="14"/>
      <c r="K30" s="14"/>
      <c r="L30" s="14"/>
      <c r="M30" s="14"/>
      <c r="N30" s="14"/>
      <c r="O30" s="14"/>
      <c r="P30" s="14"/>
      <c r="Q30" s="14"/>
      <c r="R30" s="16"/>
      <c r="S30" s="16"/>
      <c r="T30" s="16"/>
      <c r="U30" s="16"/>
      <c r="V30" s="16" t="str">
        <f t="shared" si="4"/>
        <v/>
      </c>
    </row>
    <row r="31" ht="15.75" customHeight="1">
      <c r="A31" s="14">
        <v>4.0</v>
      </c>
      <c r="B31" s="16"/>
      <c r="C31" s="20"/>
      <c r="D31" s="16"/>
      <c r="E31" s="16"/>
      <c r="F31" s="14"/>
      <c r="G31" s="14"/>
      <c r="H31" s="14"/>
      <c r="I31" s="14"/>
      <c r="J31" s="14"/>
      <c r="K31" s="14"/>
      <c r="L31" s="14"/>
      <c r="M31" s="14"/>
      <c r="N31" s="14"/>
      <c r="O31" s="14"/>
      <c r="P31" s="14"/>
      <c r="Q31" s="14"/>
      <c r="R31" s="16"/>
      <c r="S31" s="16"/>
      <c r="T31" s="16"/>
      <c r="U31" s="16"/>
      <c r="V31" s="16" t="str">
        <f t="shared" si="4"/>
        <v/>
      </c>
    </row>
    <row r="32" ht="15.75" customHeight="1">
      <c r="A32" s="14">
        <v>5.0</v>
      </c>
      <c r="B32" s="16"/>
      <c r="C32" s="20"/>
      <c r="D32" s="16"/>
      <c r="E32" s="16"/>
      <c r="F32" s="14"/>
      <c r="G32" s="14"/>
      <c r="H32" s="14"/>
      <c r="I32" s="14"/>
      <c r="J32" s="14"/>
      <c r="K32" s="14"/>
      <c r="L32" s="14"/>
      <c r="M32" s="14"/>
      <c r="N32" s="14"/>
      <c r="O32" s="14"/>
      <c r="P32" s="14"/>
      <c r="Q32" s="14"/>
      <c r="R32" s="16"/>
      <c r="S32" s="16"/>
      <c r="T32" s="16"/>
      <c r="U32" s="16"/>
      <c r="V32" s="16" t="str">
        <f t="shared" si="4"/>
        <v/>
      </c>
    </row>
    <row r="33" ht="15.75" customHeight="1">
      <c r="A33" s="12" t="s">
        <v>127</v>
      </c>
      <c r="B33" s="13" t="s">
        <v>129</v>
      </c>
      <c r="C33" s="12" t="str">
        <f>IF(COUNTA(B34:B38)=0,"",COUNTA(B34:B38)&amp;" người")</f>
        <v/>
      </c>
      <c r="D33" s="13"/>
      <c r="E33" s="13"/>
      <c r="F33" s="19">
        <f>COUNTIF(F34:F38,"Đáp ứng")</f>
        <v>0</v>
      </c>
      <c r="G33" s="19">
        <f t="shared" ref="G33:Q33" si="5">COUNTIF(G34:G38,"x")</f>
        <v>0</v>
      </c>
      <c r="H33" s="19">
        <f t="shared" si="5"/>
        <v>0</v>
      </c>
      <c r="I33" s="19">
        <f t="shared" si="5"/>
        <v>0</v>
      </c>
      <c r="J33" s="19">
        <f t="shared" si="5"/>
        <v>0</v>
      </c>
      <c r="K33" s="19">
        <f t="shared" si="5"/>
        <v>0</v>
      </c>
      <c r="L33" s="19">
        <f t="shared" si="5"/>
        <v>0</v>
      </c>
      <c r="M33" s="19">
        <f t="shared" si="5"/>
        <v>0</v>
      </c>
      <c r="N33" s="19">
        <f t="shared" si="5"/>
        <v>0</v>
      </c>
      <c r="O33" s="19">
        <f t="shared" si="5"/>
        <v>0</v>
      </c>
      <c r="P33" s="19">
        <f t="shared" si="5"/>
        <v>0</v>
      </c>
      <c r="Q33" s="19">
        <f t="shared" si="5"/>
        <v>0</v>
      </c>
      <c r="R33" s="13"/>
      <c r="S33" s="13"/>
      <c r="T33" s="13"/>
      <c r="U33" s="13"/>
      <c r="V33" s="13"/>
    </row>
    <row r="34" ht="15.75" customHeight="1">
      <c r="A34" s="14">
        <v>1.0</v>
      </c>
      <c r="B34" s="16"/>
      <c r="C34" s="20"/>
      <c r="D34" s="16"/>
      <c r="E34" s="16"/>
      <c r="F34" s="14"/>
      <c r="G34" s="14"/>
      <c r="H34" s="14"/>
      <c r="I34" s="14"/>
      <c r="J34" s="14"/>
      <c r="K34" s="14"/>
      <c r="L34" s="14"/>
      <c r="M34" s="14"/>
      <c r="N34" s="14"/>
      <c r="O34" s="14"/>
      <c r="P34" s="14"/>
      <c r="Q34" s="14"/>
      <c r="R34" s="16"/>
      <c r="S34" s="16"/>
      <c r="T34" s="16"/>
      <c r="U34" s="16"/>
      <c r="V34" s="16" t="str">
        <f t="shared" ref="V34:V38" si="6">IF(COUNTA(B34:U34)=0,"",IF(AND(OR(F34="Đáp ứng",F34="Không đáp ứng"),COUNTIF(G34:I34,"x")=1,COUNTIF(J34:M34,"x")=1,COUNTIF(N34:Q34,"x")=1),"OK","Lệch: kiểm tra (6)-(17)"))</f>
        <v/>
      </c>
    </row>
    <row r="35" ht="15.75" customHeight="1">
      <c r="A35" s="14">
        <v>2.0</v>
      </c>
      <c r="B35" s="16"/>
      <c r="C35" s="20"/>
      <c r="D35" s="16"/>
      <c r="E35" s="16"/>
      <c r="F35" s="14"/>
      <c r="G35" s="14"/>
      <c r="H35" s="14"/>
      <c r="I35" s="14"/>
      <c r="J35" s="14"/>
      <c r="K35" s="14"/>
      <c r="L35" s="14"/>
      <c r="M35" s="14"/>
      <c r="N35" s="14"/>
      <c r="O35" s="14"/>
      <c r="P35" s="14"/>
      <c r="Q35" s="14"/>
      <c r="R35" s="16"/>
      <c r="S35" s="16"/>
      <c r="T35" s="16"/>
      <c r="U35" s="16"/>
      <c r="V35" s="16" t="str">
        <f t="shared" si="6"/>
        <v/>
      </c>
    </row>
    <row r="36" ht="15.75" customHeight="1">
      <c r="A36" s="14">
        <v>3.0</v>
      </c>
      <c r="B36" s="16"/>
      <c r="C36" s="20"/>
      <c r="D36" s="16"/>
      <c r="E36" s="16"/>
      <c r="F36" s="14"/>
      <c r="G36" s="14"/>
      <c r="H36" s="14"/>
      <c r="I36" s="14"/>
      <c r="J36" s="14"/>
      <c r="K36" s="14"/>
      <c r="L36" s="14"/>
      <c r="M36" s="14"/>
      <c r="N36" s="14"/>
      <c r="O36" s="14"/>
      <c r="P36" s="14"/>
      <c r="Q36" s="14"/>
      <c r="R36" s="16"/>
      <c r="S36" s="16"/>
      <c r="T36" s="16"/>
      <c r="U36" s="16"/>
      <c r="V36" s="16" t="str">
        <f t="shared" si="6"/>
        <v/>
      </c>
    </row>
    <row r="37" ht="15.75" customHeight="1">
      <c r="A37" s="14">
        <v>4.0</v>
      </c>
      <c r="B37" s="16"/>
      <c r="C37" s="20"/>
      <c r="D37" s="16"/>
      <c r="E37" s="16"/>
      <c r="F37" s="14"/>
      <c r="G37" s="14"/>
      <c r="H37" s="14"/>
      <c r="I37" s="14"/>
      <c r="J37" s="14"/>
      <c r="K37" s="14"/>
      <c r="L37" s="14"/>
      <c r="M37" s="14"/>
      <c r="N37" s="14"/>
      <c r="O37" s="14"/>
      <c r="P37" s="14"/>
      <c r="Q37" s="14"/>
      <c r="R37" s="16"/>
      <c r="S37" s="16"/>
      <c r="T37" s="16"/>
      <c r="U37" s="16"/>
      <c r="V37" s="16" t="str">
        <f t="shared" si="6"/>
        <v/>
      </c>
    </row>
    <row r="38" ht="15.75" customHeight="1">
      <c r="A38" s="14">
        <v>5.0</v>
      </c>
      <c r="B38" s="16"/>
      <c r="C38" s="20"/>
      <c r="D38" s="16"/>
      <c r="E38" s="16"/>
      <c r="F38" s="14"/>
      <c r="G38" s="14"/>
      <c r="H38" s="14"/>
      <c r="I38" s="14"/>
      <c r="J38" s="14"/>
      <c r="K38" s="14"/>
      <c r="L38" s="14"/>
      <c r="M38" s="14"/>
      <c r="N38" s="14"/>
      <c r="O38" s="14"/>
      <c r="P38" s="14"/>
      <c r="Q38" s="14"/>
      <c r="R38" s="16"/>
      <c r="S38" s="16"/>
      <c r="T38" s="16"/>
      <c r="U38" s="16"/>
      <c r="V38" s="16" t="str">
        <f t="shared" si="6"/>
        <v/>
      </c>
    </row>
    <row r="39" ht="15.75" customHeight="1">
      <c r="A39" s="12" t="s">
        <v>136</v>
      </c>
      <c r="B39" s="13" t="s">
        <v>137</v>
      </c>
      <c r="C39" s="12" t="str">
        <f>IF(COUNTA(B40:B44)=0,"",COUNTA(B40:B44)&amp;" người")</f>
        <v/>
      </c>
      <c r="D39" s="13"/>
      <c r="E39" s="13"/>
      <c r="F39" s="19">
        <f>COUNTIF(F40:F44,"Đáp ứng")</f>
        <v>0</v>
      </c>
      <c r="G39" s="19">
        <f t="shared" ref="G39:Q39" si="7">COUNTIF(G40:G44,"x")</f>
        <v>0</v>
      </c>
      <c r="H39" s="19">
        <f t="shared" si="7"/>
        <v>0</v>
      </c>
      <c r="I39" s="19">
        <f t="shared" si="7"/>
        <v>0</v>
      </c>
      <c r="J39" s="19">
        <f t="shared" si="7"/>
        <v>0</v>
      </c>
      <c r="K39" s="19">
        <f t="shared" si="7"/>
        <v>0</v>
      </c>
      <c r="L39" s="19">
        <f t="shared" si="7"/>
        <v>0</v>
      </c>
      <c r="M39" s="19">
        <f t="shared" si="7"/>
        <v>0</v>
      </c>
      <c r="N39" s="19">
        <f t="shared" si="7"/>
        <v>0</v>
      </c>
      <c r="O39" s="19">
        <f t="shared" si="7"/>
        <v>0</v>
      </c>
      <c r="P39" s="19">
        <f t="shared" si="7"/>
        <v>0</v>
      </c>
      <c r="Q39" s="19">
        <f t="shared" si="7"/>
        <v>0</v>
      </c>
      <c r="R39" s="13"/>
      <c r="S39" s="13"/>
      <c r="T39" s="13"/>
      <c r="U39" s="13"/>
      <c r="V39" s="13"/>
    </row>
    <row r="40" ht="15.75" customHeight="1">
      <c r="A40" s="14">
        <v>1.0</v>
      </c>
      <c r="B40" s="16"/>
      <c r="C40" s="20"/>
      <c r="D40" s="16"/>
      <c r="E40" s="16"/>
      <c r="F40" s="14"/>
      <c r="G40" s="14"/>
      <c r="H40" s="14"/>
      <c r="I40" s="14"/>
      <c r="J40" s="14"/>
      <c r="K40" s="14"/>
      <c r="L40" s="14"/>
      <c r="M40" s="14"/>
      <c r="N40" s="14"/>
      <c r="O40" s="14"/>
      <c r="P40" s="14"/>
      <c r="Q40" s="14"/>
      <c r="R40" s="16"/>
      <c r="S40" s="16"/>
      <c r="T40" s="16"/>
      <c r="U40" s="16"/>
      <c r="V40" s="16" t="str">
        <f t="shared" ref="V40:V44" si="8">IF(COUNTA(B40:U40)=0,"",IF(AND(OR(F40="Đáp ứng",F40="Không đáp ứng"),COUNTIF(G40:I40,"x")=1,COUNTIF(J40:M40,"x")=1,COUNTIF(N40:Q40,"x")=1),"OK","Lệch: kiểm tra (6)-(17)"))</f>
        <v/>
      </c>
    </row>
    <row r="41" ht="15.75" customHeight="1">
      <c r="A41" s="14">
        <v>2.0</v>
      </c>
      <c r="B41" s="16"/>
      <c r="C41" s="20"/>
      <c r="D41" s="16"/>
      <c r="E41" s="16"/>
      <c r="F41" s="14"/>
      <c r="G41" s="14"/>
      <c r="H41" s="14"/>
      <c r="I41" s="14"/>
      <c r="J41" s="14"/>
      <c r="K41" s="14"/>
      <c r="L41" s="14"/>
      <c r="M41" s="14"/>
      <c r="N41" s="14"/>
      <c r="O41" s="14"/>
      <c r="P41" s="14"/>
      <c r="Q41" s="14"/>
      <c r="R41" s="16"/>
      <c r="S41" s="16"/>
      <c r="T41" s="16"/>
      <c r="U41" s="16"/>
      <c r="V41" s="16" t="str">
        <f t="shared" si="8"/>
        <v/>
      </c>
    </row>
    <row r="42" ht="15.75" customHeight="1">
      <c r="A42" s="14">
        <v>3.0</v>
      </c>
      <c r="B42" s="16"/>
      <c r="C42" s="20"/>
      <c r="D42" s="16"/>
      <c r="E42" s="16"/>
      <c r="F42" s="14"/>
      <c r="G42" s="14"/>
      <c r="H42" s="14"/>
      <c r="I42" s="14"/>
      <c r="J42" s="14"/>
      <c r="K42" s="14"/>
      <c r="L42" s="14"/>
      <c r="M42" s="14"/>
      <c r="N42" s="14"/>
      <c r="O42" s="14"/>
      <c r="P42" s="14"/>
      <c r="Q42" s="14"/>
      <c r="R42" s="16"/>
      <c r="S42" s="16"/>
      <c r="T42" s="16"/>
      <c r="U42" s="16"/>
      <c r="V42" s="16" t="str">
        <f t="shared" si="8"/>
        <v/>
      </c>
    </row>
    <row r="43" ht="15.75" customHeight="1">
      <c r="A43" s="14">
        <v>4.0</v>
      </c>
      <c r="B43" s="16"/>
      <c r="C43" s="20"/>
      <c r="D43" s="16"/>
      <c r="E43" s="16"/>
      <c r="F43" s="14"/>
      <c r="G43" s="14"/>
      <c r="H43" s="14"/>
      <c r="I43" s="14"/>
      <c r="J43" s="14"/>
      <c r="K43" s="14"/>
      <c r="L43" s="14"/>
      <c r="M43" s="14"/>
      <c r="N43" s="14"/>
      <c r="O43" s="14"/>
      <c r="P43" s="14"/>
      <c r="Q43" s="14"/>
      <c r="R43" s="16"/>
      <c r="S43" s="16"/>
      <c r="T43" s="16"/>
      <c r="U43" s="16"/>
      <c r="V43" s="16" t="str">
        <f t="shared" si="8"/>
        <v/>
      </c>
    </row>
    <row r="44" ht="15.75" customHeight="1">
      <c r="A44" s="14">
        <v>5.0</v>
      </c>
      <c r="B44" s="16"/>
      <c r="C44" s="20"/>
      <c r="D44" s="16"/>
      <c r="E44" s="16"/>
      <c r="F44" s="14"/>
      <c r="G44" s="14"/>
      <c r="H44" s="14"/>
      <c r="I44" s="14"/>
      <c r="J44" s="14"/>
      <c r="K44" s="14"/>
      <c r="L44" s="14"/>
      <c r="M44" s="14"/>
      <c r="N44" s="14"/>
      <c r="O44" s="14"/>
      <c r="P44" s="14"/>
      <c r="Q44" s="14"/>
      <c r="R44" s="16"/>
      <c r="S44" s="16"/>
      <c r="T44" s="16"/>
      <c r="U44" s="16"/>
      <c r="V44" s="16" t="str">
        <f t="shared" si="8"/>
        <v/>
      </c>
    </row>
    <row r="45" ht="15.75" customHeight="1">
      <c r="A45" s="12" t="s">
        <v>138</v>
      </c>
      <c r="B45" s="13" t="s">
        <v>139</v>
      </c>
      <c r="C45" s="12" t="str">
        <f>IF(COUNTA(B46:B50)=0,"",COUNTA(B46:B50)&amp;" người")</f>
        <v/>
      </c>
      <c r="D45" s="13"/>
      <c r="E45" s="13"/>
      <c r="F45" s="19">
        <f>COUNTIF(F46:F50,"Đáp ứng")</f>
        <v>0</v>
      </c>
      <c r="G45" s="19">
        <f t="shared" ref="G45:Q45" si="9">COUNTIF(G46:G50,"x")</f>
        <v>0</v>
      </c>
      <c r="H45" s="19">
        <f t="shared" si="9"/>
        <v>0</v>
      </c>
      <c r="I45" s="19">
        <f t="shared" si="9"/>
        <v>0</v>
      </c>
      <c r="J45" s="19">
        <f t="shared" si="9"/>
        <v>0</v>
      </c>
      <c r="K45" s="19">
        <f t="shared" si="9"/>
        <v>0</v>
      </c>
      <c r="L45" s="19">
        <f t="shared" si="9"/>
        <v>0</v>
      </c>
      <c r="M45" s="19">
        <f t="shared" si="9"/>
        <v>0</v>
      </c>
      <c r="N45" s="19">
        <f t="shared" si="9"/>
        <v>0</v>
      </c>
      <c r="O45" s="19">
        <f t="shared" si="9"/>
        <v>0</v>
      </c>
      <c r="P45" s="19">
        <f t="shared" si="9"/>
        <v>0</v>
      </c>
      <c r="Q45" s="19">
        <f t="shared" si="9"/>
        <v>0</v>
      </c>
      <c r="R45" s="13"/>
      <c r="S45" s="13"/>
      <c r="T45" s="13"/>
      <c r="U45" s="13"/>
      <c r="V45" s="13"/>
    </row>
    <row r="46" ht="15.75" customHeight="1">
      <c r="A46" s="14">
        <v>1.0</v>
      </c>
      <c r="B46" s="16"/>
      <c r="C46" s="20"/>
      <c r="D46" s="16"/>
      <c r="E46" s="16"/>
      <c r="F46" s="14"/>
      <c r="G46" s="14"/>
      <c r="H46" s="14"/>
      <c r="I46" s="14"/>
      <c r="J46" s="14"/>
      <c r="K46" s="14"/>
      <c r="L46" s="14"/>
      <c r="M46" s="14"/>
      <c r="N46" s="14"/>
      <c r="O46" s="14"/>
      <c r="P46" s="14"/>
      <c r="Q46" s="14"/>
      <c r="R46" s="16"/>
      <c r="S46" s="16"/>
      <c r="T46" s="16"/>
      <c r="U46" s="16"/>
      <c r="V46" s="16" t="str">
        <f t="shared" ref="V46:V50" si="10">IF(COUNTA(B46:U46)=0,"",IF(AND(OR(F46="Đáp ứng",F46="Không đáp ứng"),COUNTIF(G46:I46,"x")=1,COUNTIF(J46:M46,"x")=1,COUNTIF(N46:Q46,"x")=1),"OK","Lệch: kiểm tra (6)-(17)"))</f>
        <v/>
      </c>
    </row>
    <row r="47" ht="15.75" customHeight="1">
      <c r="A47" s="14">
        <v>2.0</v>
      </c>
      <c r="B47" s="16"/>
      <c r="C47" s="20"/>
      <c r="D47" s="16"/>
      <c r="E47" s="16"/>
      <c r="F47" s="14"/>
      <c r="G47" s="14"/>
      <c r="H47" s="14"/>
      <c r="I47" s="14"/>
      <c r="J47" s="14"/>
      <c r="K47" s="14"/>
      <c r="L47" s="14"/>
      <c r="M47" s="14"/>
      <c r="N47" s="14"/>
      <c r="O47" s="14"/>
      <c r="P47" s="14"/>
      <c r="Q47" s="14"/>
      <c r="R47" s="16"/>
      <c r="S47" s="16"/>
      <c r="T47" s="16"/>
      <c r="U47" s="16"/>
      <c r="V47" s="16" t="str">
        <f t="shared" si="10"/>
        <v/>
      </c>
    </row>
    <row r="48" ht="15.75" customHeight="1">
      <c r="A48" s="14">
        <v>3.0</v>
      </c>
      <c r="B48" s="16"/>
      <c r="C48" s="20"/>
      <c r="D48" s="16"/>
      <c r="E48" s="16"/>
      <c r="F48" s="14"/>
      <c r="G48" s="14"/>
      <c r="H48" s="14"/>
      <c r="I48" s="14"/>
      <c r="J48" s="14"/>
      <c r="K48" s="14"/>
      <c r="L48" s="14"/>
      <c r="M48" s="14"/>
      <c r="N48" s="14"/>
      <c r="O48" s="14"/>
      <c r="P48" s="14"/>
      <c r="Q48" s="14"/>
      <c r="R48" s="16"/>
      <c r="S48" s="16"/>
      <c r="T48" s="16"/>
      <c r="U48" s="16"/>
      <c r="V48" s="16" t="str">
        <f t="shared" si="10"/>
        <v/>
      </c>
    </row>
    <row r="49" ht="15.75" customHeight="1">
      <c r="A49" s="14">
        <v>4.0</v>
      </c>
      <c r="B49" s="16"/>
      <c r="C49" s="20"/>
      <c r="D49" s="16"/>
      <c r="E49" s="16"/>
      <c r="F49" s="14"/>
      <c r="G49" s="14"/>
      <c r="H49" s="14"/>
      <c r="I49" s="14"/>
      <c r="J49" s="14"/>
      <c r="K49" s="14"/>
      <c r="L49" s="14"/>
      <c r="M49" s="14"/>
      <c r="N49" s="14"/>
      <c r="O49" s="14"/>
      <c r="P49" s="14"/>
      <c r="Q49" s="14"/>
      <c r="R49" s="16"/>
      <c r="S49" s="16"/>
      <c r="T49" s="16"/>
      <c r="U49" s="16"/>
      <c r="V49" s="16" t="str">
        <f t="shared" si="10"/>
        <v/>
      </c>
    </row>
    <row r="50" ht="15.75" customHeight="1">
      <c r="A50" s="14">
        <v>5.0</v>
      </c>
      <c r="B50" s="16"/>
      <c r="C50" s="20"/>
      <c r="D50" s="16"/>
      <c r="E50" s="16"/>
      <c r="F50" s="14"/>
      <c r="G50" s="14"/>
      <c r="H50" s="14"/>
      <c r="I50" s="14"/>
      <c r="J50" s="14"/>
      <c r="K50" s="14"/>
      <c r="L50" s="14"/>
      <c r="M50" s="14"/>
      <c r="N50" s="14"/>
      <c r="O50" s="14"/>
      <c r="P50" s="14"/>
      <c r="Q50" s="14"/>
      <c r="R50" s="16"/>
      <c r="S50" s="16"/>
      <c r="T50" s="16"/>
      <c r="U50" s="16"/>
      <c r="V50" s="16" t="str">
        <f t="shared" si="10"/>
        <v/>
      </c>
    </row>
    <row r="51" ht="15.75" customHeight="1">
      <c r="A51" s="12" t="s">
        <v>140</v>
      </c>
      <c r="B51" s="13" t="s">
        <v>141</v>
      </c>
      <c r="C51" s="12" t="str">
        <f>IF(COUNTA(B52:B56)=0,"",COUNTA(B52:B56)&amp;" người")</f>
        <v/>
      </c>
      <c r="D51" s="13"/>
      <c r="E51" s="13"/>
      <c r="F51" s="19">
        <f>COUNTIF(F52:F56,"Đáp ứng")</f>
        <v>0</v>
      </c>
      <c r="G51" s="19">
        <f t="shared" ref="G51:Q51" si="11">COUNTIF(G52:G56,"x")</f>
        <v>0</v>
      </c>
      <c r="H51" s="19">
        <f t="shared" si="11"/>
        <v>0</v>
      </c>
      <c r="I51" s="19">
        <f t="shared" si="11"/>
        <v>0</v>
      </c>
      <c r="J51" s="19">
        <f t="shared" si="11"/>
        <v>0</v>
      </c>
      <c r="K51" s="19">
        <f t="shared" si="11"/>
        <v>0</v>
      </c>
      <c r="L51" s="19">
        <f t="shared" si="11"/>
        <v>0</v>
      </c>
      <c r="M51" s="19">
        <f t="shared" si="11"/>
        <v>0</v>
      </c>
      <c r="N51" s="19">
        <f t="shared" si="11"/>
        <v>0</v>
      </c>
      <c r="O51" s="19">
        <f t="shared" si="11"/>
        <v>0</v>
      </c>
      <c r="P51" s="19">
        <f t="shared" si="11"/>
        <v>0</v>
      </c>
      <c r="Q51" s="19">
        <f t="shared" si="11"/>
        <v>0</v>
      </c>
      <c r="R51" s="13"/>
      <c r="S51" s="13"/>
      <c r="T51" s="13"/>
      <c r="U51" s="13"/>
      <c r="V51" s="13"/>
    </row>
    <row r="52" ht="15.75" customHeight="1">
      <c r="A52" s="14">
        <v>1.0</v>
      </c>
      <c r="B52" s="16"/>
      <c r="C52" s="20"/>
      <c r="D52" s="16"/>
      <c r="E52" s="16"/>
      <c r="F52" s="14"/>
      <c r="G52" s="14"/>
      <c r="H52" s="14"/>
      <c r="I52" s="14"/>
      <c r="J52" s="14"/>
      <c r="K52" s="14"/>
      <c r="L52" s="14"/>
      <c r="M52" s="14"/>
      <c r="N52" s="14"/>
      <c r="O52" s="14"/>
      <c r="P52" s="14"/>
      <c r="Q52" s="14"/>
      <c r="R52" s="16"/>
      <c r="S52" s="16"/>
      <c r="T52" s="16"/>
      <c r="U52" s="16"/>
      <c r="V52" s="16" t="str">
        <f t="shared" ref="V52:V56" si="12">IF(COUNTA(B52:U52)=0,"",IF(AND(OR(F52="Đáp ứng",F52="Không đáp ứng"),COUNTIF(G52:I52,"x")=1,COUNTIF(J52:M52,"x")=1,COUNTIF(N52:Q52,"x")=1),"OK","Lệch: kiểm tra (6)-(17)"))</f>
        <v/>
      </c>
    </row>
    <row r="53" ht="15.75" customHeight="1">
      <c r="A53" s="14">
        <v>2.0</v>
      </c>
      <c r="B53" s="16"/>
      <c r="C53" s="20"/>
      <c r="D53" s="16"/>
      <c r="E53" s="16"/>
      <c r="F53" s="14"/>
      <c r="G53" s="14"/>
      <c r="H53" s="14"/>
      <c r="I53" s="14"/>
      <c r="J53" s="14"/>
      <c r="K53" s="14"/>
      <c r="L53" s="14"/>
      <c r="M53" s="14"/>
      <c r="N53" s="14"/>
      <c r="O53" s="14"/>
      <c r="P53" s="14"/>
      <c r="Q53" s="14"/>
      <c r="R53" s="16"/>
      <c r="S53" s="16"/>
      <c r="T53" s="16"/>
      <c r="U53" s="16"/>
      <c r="V53" s="16" t="str">
        <f t="shared" si="12"/>
        <v/>
      </c>
    </row>
    <row r="54" ht="15.75" customHeight="1">
      <c r="A54" s="14">
        <v>3.0</v>
      </c>
      <c r="B54" s="16"/>
      <c r="C54" s="20"/>
      <c r="D54" s="16"/>
      <c r="E54" s="16"/>
      <c r="F54" s="14"/>
      <c r="G54" s="14"/>
      <c r="H54" s="14"/>
      <c r="I54" s="14"/>
      <c r="J54" s="14"/>
      <c r="K54" s="14"/>
      <c r="L54" s="14"/>
      <c r="M54" s="14"/>
      <c r="N54" s="14"/>
      <c r="O54" s="14"/>
      <c r="P54" s="14"/>
      <c r="Q54" s="14"/>
      <c r="R54" s="16"/>
      <c r="S54" s="16"/>
      <c r="T54" s="16"/>
      <c r="U54" s="16"/>
      <c r="V54" s="16" t="str">
        <f t="shared" si="12"/>
        <v/>
      </c>
    </row>
    <row r="55" ht="15.75" customHeight="1">
      <c r="A55" s="14">
        <v>4.0</v>
      </c>
      <c r="B55" s="16"/>
      <c r="C55" s="20"/>
      <c r="D55" s="16"/>
      <c r="E55" s="16"/>
      <c r="F55" s="14"/>
      <c r="G55" s="14"/>
      <c r="H55" s="14"/>
      <c r="I55" s="14"/>
      <c r="J55" s="14"/>
      <c r="K55" s="14"/>
      <c r="L55" s="14"/>
      <c r="M55" s="14"/>
      <c r="N55" s="14"/>
      <c r="O55" s="14"/>
      <c r="P55" s="14"/>
      <c r="Q55" s="14"/>
      <c r="R55" s="16"/>
      <c r="S55" s="16"/>
      <c r="T55" s="16"/>
      <c r="U55" s="16"/>
      <c r="V55" s="16" t="str">
        <f t="shared" si="12"/>
        <v/>
      </c>
    </row>
    <row r="56" ht="15.75" customHeight="1">
      <c r="A56" s="14">
        <v>5.0</v>
      </c>
      <c r="B56" s="16"/>
      <c r="C56" s="20"/>
      <c r="D56" s="16"/>
      <c r="E56" s="16"/>
      <c r="F56" s="14"/>
      <c r="G56" s="14"/>
      <c r="H56" s="14"/>
      <c r="I56" s="14"/>
      <c r="J56" s="14"/>
      <c r="K56" s="14"/>
      <c r="L56" s="14"/>
      <c r="M56" s="14"/>
      <c r="N56" s="14"/>
      <c r="O56" s="14"/>
      <c r="P56" s="14"/>
      <c r="Q56" s="14"/>
      <c r="R56" s="16"/>
      <c r="S56" s="16"/>
      <c r="T56" s="16"/>
      <c r="U56" s="16"/>
      <c r="V56" s="16" t="str">
        <f t="shared" si="12"/>
        <v/>
      </c>
    </row>
    <row r="57" ht="15.75" customHeight="1">
      <c r="A57" s="12" t="s">
        <v>142</v>
      </c>
      <c r="B57" s="13" t="s">
        <v>143</v>
      </c>
      <c r="C57" s="12" t="str">
        <f>IF(COUNTA(B58:B62)=0,"",COUNTA(B58:B62)&amp;" người")</f>
        <v/>
      </c>
      <c r="D57" s="13"/>
      <c r="E57" s="13"/>
      <c r="F57" s="19">
        <f>COUNTIF(F58:F62,"Đáp ứng")</f>
        <v>0</v>
      </c>
      <c r="G57" s="19">
        <f t="shared" ref="G57:Q57" si="13">COUNTIF(G58:G62,"x")</f>
        <v>0</v>
      </c>
      <c r="H57" s="19">
        <f t="shared" si="13"/>
        <v>0</v>
      </c>
      <c r="I57" s="19">
        <f t="shared" si="13"/>
        <v>0</v>
      </c>
      <c r="J57" s="19">
        <f t="shared" si="13"/>
        <v>0</v>
      </c>
      <c r="K57" s="19">
        <f t="shared" si="13"/>
        <v>0</v>
      </c>
      <c r="L57" s="19">
        <f t="shared" si="13"/>
        <v>0</v>
      </c>
      <c r="M57" s="19">
        <f t="shared" si="13"/>
        <v>0</v>
      </c>
      <c r="N57" s="19">
        <f t="shared" si="13"/>
        <v>0</v>
      </c>
      <c r="O57" s="19">
        <f t="shared" si="13"/>
        <v>0</v>
      </c>
      <c r="P57" s="19">
        <f t="shared" si="13"/>
        <v>0</v>
      </c>
      <c r="Q57" s="19">
        <f t="shared" si="13"/>
        <v>0</v>
      </c>
      <c r="R57" s="13"/>
      <c r="S57" s="13"/>
      <c r="T57" s="13"/>
      <c r="U57" s="13"/>
      <c r="V57" s="13"/>
    </row>
    <row r="58" ht="15.75" customHeight="1">
      <c r="A58" s="14">
        <v>1.0</v>
      </c>
      <c r="B58" s="16"/>
      <c r="C58" s="20"/>
      <c r="D58" s="16"/>
      <c r="E58" s="16"/>
      <c r="F58" s="14"/>
      <c r="G58" s="14"/>
      <c r="H58" s="14"/>
      <c r="I58" s="14"/>
      <c r="J58" s="14"/>
      <c r="K58" s="14"/>
      <c r="L58" s="14"/>
      <c r="M58" s="14"/>
      <c r="N58" s="14"/>
      <c r="O58" s="14"/>
      <c r="P58" s="14"/>
      <c r="Q58" s="14"/>
      <c r="R58" s="16"/>
      <c r="S58" s="16"/>
      <c r="T58" s="16"/>
      <c r="U58" s="16"/>
      <c r="V58" s="16" t="str">
        <f t="shared" ref="V58:V62" si="14">IF(COUNTA(B58:U58)=0,"",IF(AND(OR(F58="Đáp ứng",F58="Không đáp ứng"),COUNTIF(G58:I58,"x")=1,COUNTIF(J58:M58,"x")=1,COUNTIF(N58:Q58,"x")=1),"OK","Lệch: kiểm tra (6)-(17)"))</f>
        <v/>
      </c>
    </row>
    <row r="59" ht="15.75" customHeight="1">
      <c r="A59" s="14">
        <v>2.0</v>
      </c>
      <c r="B59" s="16"/>
      <c r="C59" s="20"/>
      <c r="D59" s="16"/>
      <c r="E59" s="16"/>
      <c r="F59" s="14"/>
      <c r="G59" s="14"/>
      <c r="H59" s="14"/>
      <c r="I59" s="14"/>
      <c r="J59" s="14"/>
      <c r="K59" s="14"/>
      <c r="L59" s="14"/>
      <c r="M59" s="14"/>
      <c r="N59" s="14"/>
      <c r="O59" s="14"/>
      <c r="P59" s="14"/>
      <c r="Q59" s="14"/>
      <c r="R59" s="16"/>
      <c r="S59" s="16"/>
      <c r="T59" s="16"/>
      <c r="U59" s="16"/>
      <c r="V59" s="16" t="str">
        <f t="shared" si="14"/>
        <v/>
      </c>
    </row>
    <row r="60" ht="15.75" customHeight="1">
      <c r="A60" s="14">
        <v>3.0</v>
      </c>
      <c r="B60" s="16"/>
      <c r="C60" s="20"/>
      <c r="D60" s="16"/>
      <c r="E60" s="16"/>
      <c r="F60" s="14"/>
      <c r="G60" s="14"/>
      <c r="H60" s="14"/>
      <c r="I60" s="14"/>
      <c r="J60" s="14"/>
      <c r="K60" s="14"/>
      <c r="L60" s="14"/>
      <c r="M60" s="14"/>
      <c r="N60" s="14"/>
      <c r="O60" s="14"/>
      <c r="P60" s="14"/>
      <c r="Q60" s="14"/>
      <c r="R60" s="16"/>
      <c r="S60" s="16"/>
      <c r="T60" s="16"/>
      <c r="U60" s="16"/>
      <c r="V60" s="16" t="str">
        <f t="shared" si="14"/>
        <v/>
      </c>
    </row>
    <row r="61" ht="15.75" customHeight="1">
      <c r="A61" s="14">
        <v>4.0</v>
      </c>
      <c r="B61" s="16"/>
      <c r="C61" s="20"/>
      <c r="D61" s="16"/>
      <c r="E61" s="16"/>
      <c r="F61" s="14"/>
      <c r="G61" s="14"/>
      <c r="H61" s="14"/>
      <c r="I61" s="14"/>
      <c r="J61" s="14"/>
      <c r="K61" s="14"/>
      <c r="L61" s="14"/>
      <c r="M61" s="14"/>
      <c r="N61" s="14"/>
      <c r="O61" s="14"/>
      <c r="P61" s="14"/>
      <c r="Q61" s="14"/>
      <c r="R61" s="16"/>
      <c r="S61" s="16"/>
      <c r="T61" s="16"/>
      <c r="U61" s="16"/>
      <c r="V61" s="16" t="str">
        <f t="shared" si="14"/>
        <v/>
      </c>
    </row>
    <row r="62" ht="15.75" customHeight="1">
      <c r="A62" s="14">
        <v>5.0</v>
      </c>
      <c r="B62" s="16"/>
      <c r="C62" s="20"/>
      <c r="D62" s="16"/>
      <c r="E62" s="16"/>
      <c r="F62" s="14"/>
      <c r="G62" s="14"/>
      <c r="H62" s="14"/>
      <c r="I62" s="14"/>
      <c r="J62" s="14"/>
      <c r="K62" s="14"/>
      <c r="L62" s="14"/>
      <c r="M62" s="14"/>
      <c r="N62" s="14"/>
      <c r="O62" s="14"/>
      <c r="P62" s="14"/>
      <c r="Q62" s="14"/>
      <c r="R62" s="16"/>
      <c r="S62" s="16"/>
      <c r="T62" s="16"/>
      <c r="U62" s="16"/>
      <c r="V62" s="16" t="str">
        <f t="shared" si="14"/>
        <v/>
      </c>
    </row>
    <row r="63" ht="15.75" customHeight="1">
      <c r="A63" s="12" t="s">
        <v>144</v>
      </c>
      <c r="B63" s="13" t="s">
        <v>145</v>
      </c>
      <c r="C63" s="12" t="str">
        <f>IF(COUNTA(B64:B68)=0,"",COUNTA(B64:B68)&amp;" người")</f>
        <v/>
      </c>
      <c r="D63" s="13"/>
      <c r="E63" s="13"/>
      <c r="F63" s="19">
        <f>COUNTIF(F64:F68,"Đáp ứng")</f>
        <v>0</v>
      </c>
      <c r="G63" s="19">
        <f t="shared" ref="G63:Q63" si="15">COUNTIF(G64:G68,"x")</f>
        <v>0</v>
      </c>
      <c r="H63" s="19">
        <f t="shared" si="15"/>
        <v>0</v>
      </c>
      <c r="I63" s="19">
        <f t="shared" si="15"/>
        <v>0</v>
      </c>
      <c r="J63" s="19">
        <f t="shared" si="15"/>
        <v>0</v>
      </c>
      <c r="K63" s="19">
        <f t="shared" si="15"/>
        <v>0</v>
      </c>
      <c r="L63" s="19">
        <f t="shared" si="15"/>
        <v>0</v>
      </c>
      <c r="M63" s="19">
        <f t="shared" si="15"/>
        <v>0</v>
      </c>
      <c r="N63" s="19">
        <f t="shared" si="15"/>
        <v>0</v>
      </c>
      <c r="O63" s="19">
        <f t="shared" si="15"/>
        <v>0</v>
      </c>
      <c r="P63" s="19">
        <f t="shared" si="15"/>
        <v>0</v>
      </c>
      <c r="Q63" s="19">
        <f t="shared" si="15"/>
        <v>0</v>
      </c>
      <c r="R63" s="13"/>
      <c r="S63" s="13"/>
      <c r="T63" s="13"/>
      <c r="U63" s="13"/>
      <c r="V63" s="13"/>
    </row>
    <row r="64" ht="15.75" customHeight="1">
      <c r="A64" s="14">
        <v>1.0</v>
      </c>
      <c r="B64" s="16"/>
      <c r="C64" s="20"/>
      <c r="D64" s="16"/>
      <c r="E64" s="16"/>
      <c r="F64" s="14"/>
      <c r="G64" s="14"/>
      <c r="H64" s="14"/>
      <c r="I64" s="14"/>
      <c r="J64" s="14"/>
      <c r="K64" s="14"/>
      <c r="L64" s="14"/>
      <c r="M64" s="14"/>
      <c r="N64" s="14"/>
      <c r="O64" s="14"/>
      <c r="P64" s="14"/>
      <c r="Q64" s="14"/>
      <c r="R64" s="16"/>
      <c r="S64" s="16"/>
      <c r="T64" s="16"/>
      <c r="U64" s="16"/>
      <c r="V64" s="16" t="str">
        <f t="shared" ref="V64:V68" si="16">IF(COUNTA(B64:U64)=0,"",IF(AND(OR(F64="Đáp ứng",F64="Không đáp ứng"),COUNTIF(G64:I64,"x")=1,COUNTIF(J64:M64,"x")=1,COUNTIF(N64:Q64,"x")=1),"OK","Lệch: kiểm tra (6)-(17)"))</f>
        <v/>
      </c>
    </row>
    <row r="65" ht="15.75" customHeight="1">
      <c r="A65" s="14">
        <v>2.0</v>
      </c>
      <c r="B65" s="16"/>
      <c r="C65" s="20"/>
      <c r="D65" s="16"/>
      <c r="E65" s="16"/>
      <c r="F65" s="14"/>
      <c r="G65" s="14"/>
      <c r="H65" s="14"/>
      <c r="I65" s="14"/>
      <c r="J65" s="14"/>
      <c r="K65" s="14"/>
      <c r="L65" s="14"/>
      <c r="M65" s="14"/>
      <c r="N65" s="14"/>
      <c r="O65" s="14"/>
      <c r="P65" s="14"/>
      <c r="Q65" s="14"/>
      <c r="R65" s="16"/>
      <c r="S65" s="16"/>
      <c r="T65" s="16"/>
      <c r="U65" s="16"/>
      <c r="V65" s="16" t="str">
        <f t="shared" si="16"/>
        <v/>
      </c>
    </row>
    <row r="66" ht="15.75" customHeight="1">
      <c r="A66" s="14">
        <v>3.0</v>
      </c>
      <c r="B66" s="16"/>
      <c r="C66" s="20"/>
      <c r="D66" s="16"/>
      <c r="E66" s="16"/>
      <c r="F66" s="14"/>
      <c r="G66" s="14"/>
      <c r="H66" s="14"/>
      <c r="I66" s="14"/>
      <c r="J66" s="14"/>
      <c r="K66" s="14"/>
      <c r="L66" s="14"/>
      <c r="M66" s="14"/>
      <c r="N66" s="14"/>
      <c r="O66" s="14"/>
      <c r="P66" s="14"/>
      <c r="Q66" s="14"/>
      <c r="R66" s="16"/>
      <c r="S66" s="16"/>
      <c r="T66" s="16"/>
      <c r="U66" s="16"/>
      <c r="V66" s="16" t="str">
        <f t="shared" si="16"/>
        <v/>
      </c>
    </row>
    <row r="67" ht="15.75" customHeight="1">
      <c r="A67" s="14">
        <v>4.0</v>
      </c>
      <c r="B67" s="16"/>
      <c r="C67" s="20"/>
      <c r="D67" s="16"/>
      <c r="E67" s="16"/>
      <c r="F67" s="14"/>
      <c r="G67" s="14"/>
      <c r="H67" s="14"/>
      <c r="I67" s="14"/>
      <c r="J67" s="14"/>
      <c r="K67" s="14"/>
      <c r="L67" s="14"/>
      <c r="M67" s="14"/>
      <c r="N67" s="14"/>
      <c r="O67" s="14"/>
      <c r="P67" s="14"/>
      <c r="Q67" s="14"/>
      <c r="R67" s="16"/>
      <c r="S67" s="16"/>
      <c r="T67" s="16"/>
      <c r="U67" s="16"/>
      <c r="V67" s="16" t="str">
        <f t="shared" si="16"/>
        <v/>
      </c>
    </row>
    <row r="68" ht="15.75" customHeight="1">
      <c r="A68" s="14">
        <v>5.0</v>
      </c>
      <c r="B68" s="16"/>
      <c r="C68" s="20"/>
      <c r="D68" s="16"/>
      <c r="E68" s="16"/>
      <c r="F68" s="14"/>
      <c r="G68" s="14"/>
      <c r="H68" s="14"/>
      <c r="I68" s="14"/>
      <c r="J68" s="14"/>
      <c r="K68" s="14"/>
      <c r="L68" s="14"/>
      <c r="M68" s="14"/>
      <c r="N68" s="14"/>
      <c r="O68" s="14"/>
      <c r="P68" s="14"/>
      <c r="Q68" s="14"/>
      <c r="R68" s="16"/>
      <c r="S68" s="16"/>
      <c r="T68" s="16"/>
      <c r="U68" s="16"/>
      <c r="V68" s="16" t="str">
        <f t="shared" si="16"/>
        <v/>
      </c>
    </row>
    <row r="69" ht="15.75" customHeight="1">
      <c r="A69" s="12" t="s">
        <v>146</v>
      </c>
      <c r="B69" s="13" t="s">
        <v>147</v>
      </c>
      <c r="C69" s="12" t="str">
        <f>IF(COUNTA(B70:B74)=0,"",COUNTA(B70:B74)&amp;" người")</f>
        <v/>
      </c>
      <c r="D69" s="13"/>
      <c r="E69" s="13"/>
      <c r="F69" s="19">
        <f>COUNTIF(F70:F74,"Đáp ứng")</f>
        <v>0</v>
      </c>
      <c r="G69" s="19">
        <f t="shared" ref="G69:Q69" si="17">COUNTIF(G70:G74,"x")</f>
        <v>0</v>
      </c>
      <c r="H69" s="19">
        <f t="shared" si="17"/>
        <v>0</v>
      </c>
      <c r="I69" s="19">
        <f t="shared" si="17"/>
        <v>0</v>
      </c>
      <c r="J69" s="19">
        <f t="shared" si="17"/>
        <v>0</v>
      </c>
      <c r="K69" s="19">
        <f t="shared" si="17"/>
        <v>0</v>
      </c>
      <c r="L69" s="19">
        <f t="shared" si="17"/>
        <v>0</v>
      </c>
      <c r="M69" s="19">
        <f t="shared" si="17"/>
        <v>0</v>
      </c>
      <c r="N69" s="19">
        <f t="shared" si="17"/>
        <v>0</v>
      </c>
      <c r="O69" s="19">
        <f t="shared" si="17"/>
        <v>0</v>
      </c>
      <c r="P69" s="19">
        <f t="shared" si="17"/>
        <v>0</v>
      </c>
      <c r="Q69" s="19">
        <f t="shared" si="17"/>
        <v>0</v>
      </c>
      <c r="R69" s="13"/>
      <c r="S69" s="13"/>
      <c r="T69" s="13"/>
      <c r="U69" s="13"/>
      <c r="V69" s="13"/>
    </row>
    <row r="70" ht="15.75" customHeight="1">
      <c r="A70" s="14">
        <v>1.0</v>
      </c>
      <c r="B70" s="16"/>
      <c r="C70" s="20"/>
      <c r="D70" s="16"/>
      <c r="E70" s="16"/>
      <c r="F70" s="14"/>
      <c r="G70" s="14"/>
      <c r="H70" s="14"/>
      <c r="I70" s="14"/>
      <c r="J70" s="14"/>
      <c r="K70" s="14"/>
      <c r="L70" s="14"/>
      <c r="M70" s="14"/>
      <c r="N70" s="14"/>
      <c r="O70" s="14"/>
      <c r="P70" s="14"/>
      <c r="Q70" s="14"/>
      <c r="R70" s="16"/>
      <c r="S70" s="16"/>
      <c r="T70" s="16"/>
      <c r="U70" s="16"/>
      <c r="V70" s="16" t="str">
        <f t="shared" ref="V70:V74" si="18">IF(COUNTA(B70:U70)=0,"",IF(AND(OR(F70="Đáp ứng",F70="Không đáp ứng"),COUNTIF(G70:I70,"x")=1,COUNTIF(J70:M70,"x")=1,COUNTIF(N70:Q70,"x")=1),"OK","Lệch: kiểm tra (6)-(17)"))</f>
        <v/>
      </c>
    </row>
    <row r="71" ht="15.75" customHeight="1">
      <c r="A71" s="14">
        <v>2.0</v>
      </c>
      <c r="B71" s="16"/>
      <c r="C71" s="20"/>
      <c r="D71" s="16"/>
      <c r="E71" s="16"/>
      <c r="F71" s="14"/>
      <c r="G71" s="14"/>
      <c r="H71" s="14"/>
      <c r="I71" s="14"/>
      <c r="J71" s="14"/>
      <c r="K71" s="14"/>
      <c r="L71" s="14"/>
      <c r="M71" s="14"/>
      <c r="N71" s="14"/>
      <c r="O71" s="14"/>
      <c r="P71" s="14"/>
      <c r="Q71" s="14"/>
      <c r="R71" s="16"/>
      <c r="S71" s="16"/>
      <c r="T71" s="16"/>
      <c r="U71" s="16"/>
      <c r="V71" s="16" t="str">
        <f t="shared" si="18"/>
        <v/>
      </c>
    </row>
    <row r="72" ht="15.75" customHeight="1">
      <c r="A72" s="14">
        <v>3.0</v>
      </c>
      <c r="B72" s="16"/>
      <c r="C72" s="20"/>
      <c r="D72" s="16"/>
      <c r="E72" s="16"/>
      <c r="F72" s="14"/>
      <c r="G72" s="14"/>
      <c r="H72" s="14"/>
      <c r="I72" s="14"/>
      <c r="J72" s="14"/>
      <c r="K72" s="14"/>
      <c r="L72" s="14"/>
      <c r="M72" s="14"/>
      <c r="N72" s="14"/>
      <c r="O72" s="14"/>
      <c r="P72" s="14"/>
      <c r="Q72" s="14"/>
      <c r="R72" s="16"/>
      <c r="S72" s="16"/>
      <c r="T72" s="16"/>
      <c r="U72" s="16"/>
      <c r="V72" s="16" t="str">
        <f t="shared" si="18"/>
        <v/>
      </c>
    </row>
    <row r="73" ht="15.75" customHeight="1">
      <c r="A73" s="14">
        <v>4.0</v>
      </c>
      <c r="B73" s="16"/>
      <c r="C73" s="20"/>
      <c r="D73" s="16"/>
      <c r="E73" s="16"/>
      <c r="F73" s="14"/>
      <c r="G73" s="14"/>
      <c r="H73" s="14"/>
      <c r="I73" s="14"/>
      <c r="J73" s="14"/>
      <c r="K73" s="14"/>
      <c r="L73" s="14"/>
      <c r="M73" s="14"/>
      <c r="N73" s="14"/>
      <c r="O73" s="14"/>
      <c r="P73" s="14"/>
      <c r="Q73" s="14"/>
      <c r="R73" s="16"/>
      <c r="S73" s="16"/>
      <c r="T73" s="16"/>
      <c r="U73" s="16"/>
      <c r="V73" s="16" t="str">
        <f t="shared" si="18"/>
        <v/>
      </c>
    </row>
    <row r="74" ht="15.75" customHeight="1">
      <c r="A74" s="14">
        <v>5.0</v>
      </c>
      <c r="B74" s="16"/>
      <c r="C74" s="20"/>
      <c r="D74" s="16"/>
      <c r="E74" s="16"/>
      <c r="F74" s="14"/>
      <c r="G74" s="14"/>
      <c r="H74" s="14"/>
      <c r="I74" s="14"/>
      <c r="J74" s="14"/>
      <c r="K74" s="14"/>
      <c r="L74" s="14"/>
      <c r="M74" s="14"/>
      <c r="N74" s="14"/>
      <c r="O74" s="14"/>
      <c r="P74" s="14"/>
      <c r="Q74" s="14"/>
      <c r="R74" s="16"/>
      <c r="S74" s="16"/>
      <c r="T74" s="16"/>
      <c r="U74" s="16"/>
      <c r="V74" s="16" t="str">
        <f t="shared" si="18"/>
        <v/>
      </c>
    </row>
    <row r="75" ht="15.75" customHeight="1">
      <c r="A75" s="12" t="s">
        <v>148</v>
      </c>
      <c r="B75" s="13" t="s">
        <v>149</v>
      </c>
      <c r="C75" s="12" t="str">
        <f>IF(COUNTA(B76:B80)=0,"",COUNTA(B76:B80)&amp;" người")</f>
        <v/>
      </c>
      <c r="D75" s="13"/>
      <c r="E75" s="13"/>
      <c r="F75" s="19">
        <f>COUNTIF(F76:F80,"Đáp ứng")</f>
        <v>0</v>
      </c>
      <c r="G75" s="19">
        <f t="shared" ref="G75:Q75" si="19">COUNTIF(G76:G80,"x")</f>
        <v>0</v>
      </c>
      <c r="H75" s="19">
        <f t="shared" si="19"/>
        <v>0</v>
      </c>
      <c r="I75" s="19">
        <f t="shared" si="19"/>
        <v>0</v>
      </c>
      <c r="J75" s="19">
        <f t="shared" si="19"/>
        <v>0</v>
      </c>
      <c r="K75" s="19">
        <f t="shared" si="19"/>
        <v>0</v>
      </c>
      <c r="L75" s="19">
        <f t="shared" si="19"/>
        <v>0</v>
      </c>
      <c r="M75" s="19">
        <f t="shared" si="19"/>
        <v>0</v>
      </c>
      <c r="N75" s="19">
        <f t="shared" si="19"/>
        <v>0</v>
      </c>
      <c r="O75" s="19">
        <f t="shared" si="19"/>
        <v>0</v>
      </c>
      <c r="P75" s="19">
        <f t="shared" si="19"/>
        <v>0</v>
      </c>
      <c r="Q75" s="19">
        <f t="shared" si="19"/>
        <v>0</v>
      </c>
      <c r="R75" s="13"/>
      <c r="S75" s="13"/>
      <c r="T75" s="13"/>
      <c r="U75" s="13"/>
      <c r="V75" s="13"/>
    </row>
    <row r="76" ht="15.75" customHeight="1">
      <c r="A76" s="14">
        <v>1.0</v>
      </c>
      <c r="B76" s="16"/>
      <c r="C76" s="20"/>
      <c r="D76" s="16"/>
      <c r="E76" s="16"/>
      <c r="F76" s="14"/>
      <c r="G76" s="14"/>
      <c r="H76" s="14"/>
      <c r="I76" s="14"/>
      <c r="J76" s="14"/>
      <c r="K76" s="14"/>
      <c r="L76" s="14"/>
      <c r="M76" s="14"/>
      <c r="N76" s="14"/>
      <c r="O76" s="14"/>
      <c r="P76" s="14"/>
      <c r="Q76" s="14"/>
      <c r="R76" s="16"/>
      <c r="S76" s="16"/>
      <c r="T76" s="16"/>
      <c r="U76" s="16"/>
      <c r="V76" s="16" t="str">
        <f t="shared" ref="V76:V80" si="20">IF(COUNTA(B76:U76)=0,"",IF(AND(OR(F76="Đáp ứng",F76="Không đáp ứng"),COUNTIF(G76:I76,"x")=1,COUNTIF(J76:M76,"x")=1,COUNTIF(N76:Q76,"x")=1),"OK","Lệch: kiểm tra (6)-(17)"))</f>
        <v/>
      </c>
    </row>
    <row r="77" ht="15.75" customHeight="1">
      <c r="A77" s="14">
        <v>2.0</v>
      </c>
      <c r="B77" s="16"/>
      <c r="C77" s="20"/>
      <c r="D77" s="16"/>
      <c r="E77" s="16"/>
      <c r="F77" s="14"/>
      <c r="G77" s="14"/>
      <c r="H77" s="14"/>
      <c r="I77" s="14"/>
      <c r="J77" s="14"/>
      <c r="K77" s="14"/>
      <c r="L77" s="14"/>
      <c r="M77" s="14"/>
      <c r="N77" s="14"/>
      <c r="O77" s="14"/>
      <c r="P77" s="14"/>
      <c r="Q77" s="14"/>
      <c r="R77" s="16"/>
      <c r="S77" s="16"/>
      <c r="T77" s="16"/>
      <c r="U77" s="16"/>
      <c r="V77" s="16" t="str">
        <f t="shared" si="20"/>
        <v/>
      </c>
    </row>
    <row r="78" ht="15.75" customHeight="1">
      <c r="A78" s="14">
        <v>3.0</v>
      </c>
      <c r="B78" s="16"/>
      <c r="C78" s="20"/>
      <c r="D78" s="16"/>
      <c r="E78" s="16"/>
      <c r="F78" s="14"/>
      <c r="G78" s="14"/>
      <c r="H78" s="14"/>
      <c r="I78" s="14"/>
      <c r="J78" s="14"/>
      <c r="K78" s="14"/>
      <c r="L78" s="14"/>
      <c r="M78" s="14"/>
      <c r="N78" s="14"/>
      <c r="O78" s="14"/>
      <c r="P78" s="14"/>
      <c r="Q78" s="14"/>
      <c r="R78" s="16"/>
      <c r="S78" s="16"/>
      <c r="T78" s="16"/>
      <c r="U78" s="16"/>
      <c r="V78" s="16" t="str">
        <f t="shared" si="20"/>
        <v/>
      </c>
    </row>
    <row r="79" ht="15.75" customHeight="1">
      <c r="A79" s="14">
        <v>4.0</v>
      </c>
      <c r="B79" s="16"/>
      <c r="C79" s="20"/>
      <c r="D79" s="16"/>
      <c r="E79" s="16"/>
      <c r="F79" s="14"/>
      <c r="G79" s="14"/>
      <c r="H79" s="14"/>
      <c r="I79" s="14"/>
      <c r="J79" s="14"/>
      <c r="K79" s="14"/>
      <c r="L79" s="14"/>
      <c r="M79" s="14"/>
      <c r="N79" s="14"/>
      <c r="O79" s="14"/>
      <c r="P79" s="14"/>
      <c r="Q79" s="14"/>
      <c r="R79" s="16"/>
      <c r="S79" s="16"/>
      <c r="T79" s="16"/>
      <c r="U79" s="16"/>
      <c r="V79" s="16" t="str">
        <f t="shared" si="20"/>
        <v/>
      </c>
    </row>
    <row r="80" ht="15.75" customHeight="1">
      <c r="A80" s="14">
        <v>5.0</v>
      </c>
      <c r="B80" s="16"/>
      <c r="C80" s="20"/>
      <c r="D80" s="16"/>
      <c r="E80" s="16"/>
      <c r="F80" s="14"/>
      <c r="G80" s="14"/>
      <c r="H80" s="14"/>
      <c r="I80" s="14"/>
      <c r="J80" s="14"/>
      <c r="K80" s="14"/>
      <c r="L80" s="14"/>
      <c r="M80" s="14"/>
      <c r="N80" s="14"/>
      <c r="O80" s="14"/>
      <c r="P80" s="14"/>
      <c r="Q80" s="14"/>
      <c r="R80" s="16"/>
      <c r="S80" s="16"/>
      <c r="T80" s="16"/>
      <c r="U80" s="16"/>
      <c r="V80" s="16" t="str">
        <f t="shared" si="20"/>
        <v/>
      </c>
    </row>
    <row r="81" ht="15.75" customHeight="1">
      <c r="A81" s="12" t="s">
        <v>150</v>
      </c>
      <c r="B81" s="13" t="s">
        <v>151</v>
      </c>
      <c r="C81" s="12" t="str">
        <f>IF(COUNTA(B82:B86)=0,"",COUNTA(B82:B86)&amp;" người")</f>
        <v/>
      </c>
      <c r="D81" s="13"/>
      <c r="E81" s="13"/>
      <c r="F81" s="19">
        <f>COUNTIF(F82:F86,"Đáp ứng")</f>
        <v>0</v>
      </c>
      <c r="G81" s="19">
        <f t="shared" ref="G81:Q81" si="21">COUNTIF(G82:G86,"x")</f>
        <v>0</v>
      </c>
      <c r="H81" s="19">
        <f t="shared" si="21"/>
        <v>0</v>
      </c>
      <c r="I81" s="19">
        <f t="shared" si="21"/>
        <v>0</v>
      </c>
      <c r="J81" s="19">
        <f t="shared" si="21"/>
        <v>0</v>
      </c>
      <c r="K81" s="19">
        <f t="shared" si="21"/>
        <v>0</v>
      </c>
      <c r="L81" s="19">
        <f t="shared" si="21"/>
        <v>0</v>
      </c>
      <c r="M81" s="19">
        <f t="shared" si="21"/>
        <v>0</v>
      </c>
      <c r="N81" s="19">
        <f t="shared" si="21"/>
        <v>0</v>
      </c>
      <c r="O81" s="19">
        <f t="shared" si="21"/>
        <v>0</v>
      </c>
      <c r="P81" s="19">
        <f t="shared" si="21"/>
        <v>0</v>
      </c>
      <c r="Q81" s="19">
        <f t="shared" si="21"/>
        <v>0</v>
      </c>
      <c r="R81" s="13"/>
      <c r="S81" s="13"/>
      <c r="T81" s="13"/>
      <c r="U81" s="13"/>
      <c r="V81" s="13"/>
    </row>
    <row r="82" ht="15.75" customHeight="1">
      <c r="A82" s="14">
        <v>1.0</v>
      </c>
      <c r="B82" s="16"/>
      <c r="C82" s="20"/>
      <c r="D82" s="16"/>
      <c r="E82" s="16"/>
      <c r="F82" s="14"/>
      <c r="G82" s="14"/>
      <c r="H82" s="14"/>
      <c r="I82" s="14"/>
      <c r="J82" s="14"/>
      <c r="K82" s="14"/>
      <c r="L82" s="14"/>
      <c r="M82" s="14"/>
      <c r="N82" s="14"/>
      <c r="O82" s="14"/>
      <c r="P82" s="14"/>
      <c r="Q82" s="14"/>
      <c r="R82" s="16"/>
      <c r="S82" s="16"/>
      <c r="T82" s="16"/>
      <c r="U82" s="16"/>
      <c r="V82" s="16" t="str">
        <f t="shared" ref="V82:V86" si="22">IF(COUNTA(B82:U82)=0,"",IF(AND(OR(F82="Đáp ứng",F82="Không đáp ứng"),COUNTIF(G82:I82,"x")=1,COUNTIF(J82:M82,"x")=1,COUNTIF(N82:Q82,"x")=1),"OK","Lệch: kiểm tra (6)-(17)"))</f>
        <v/>
      </c>
    </row>
    <row r="83" ht="15.75" customHeight="1">
      <c r="A83" s="14">
        <v>2.0</v>
      </c>
      <c r="B83" s="16"/>
      <c r="C83" s="20"/>
      <c r="D83" s="16"/>
      <c r="E83" s="16"/>
      <c r="F83" s="14"/>
      <c r="G83" s="14"/>
      <c r="H83" s="14"/>
      <c r="I83" s="14"/>
      <c r="J83" s="14"/>
      <c r="K83" s="14"/>
      <c r="L83" s="14"/>
      <c r="M83" s="14"/>
      <c r="N83" s="14"/>
      <c r="O83" s="14"/>
      <c r="P83" s="14"/>
      <c r="Q83" s="14"/>
      <c r="R83" s="16"/>
      <c r="S83" s="16"/>
      <c r="T83" s="16"/>
      <c r="U83" s="16"/>
      <c r="V83" s="16" t="str">
        <f t="shared" si="22"/>
        <v/>
      </c>
    </row>
    <row r="84" ht="15.75" customHeight="1">
      <c r="A84" s="14">
        <v>3.0</v>
      </c>
      <c r="B84" s="16"/>
      <c r="C84" s="20"/>
      <c r="D84" s="16"/>
      <c r="E84" s="16"/>
      <c r="F84" s="14"/>
      <c r="G84" s="14"/>
      <c r="H84" s="14"/>
      <c r="I84" s="14"/>
      <c r="J84" s="14"/>
      <c r="K84" s="14"/>
      <c r="L84" s="14"/>
      <c r="M84" s="14"/>
      <c r="N84" s="14"/>
      <c r="O84" s="14"/>
      <c r="P84" s="14"/>
      <c r="Q84" s="14"/>
      <c r="R84" s="16"/>
      <c r="S84" s="16"/>
      <c r="T84" s="16"/>
      <c r="U84" s="16"/>
      <c r="V84" s="16" t="str">
        <f t="shared" si="22"/>
        <v/>
      </c>
    </row>
    <row r="85" ht="15.75" customHeight="1">
      <c r="A85" s="14">
        <v>4.0</v>
      </c>
      <c r="B85" s="16"/>
      <c r="C85" s="20"/>
      <c r="D85" s="16"/>
      <c r="E85" s="16"/>
      <c r="F85" s="14"/>
      <c r="G85" s="14"/>
      <c r="H85" s="14"/>
      <c r="I85" s="14"/>
      <c r="J85" s="14"/>
      <c r="K85" s="14"/>
      <c r="L85" s="14"/>
      <c r="M85" s="14"/>
      <c r="N85" s="14"/>
      <c r="O85" s="14"/>
      <c r="P85" s="14"/>
      <c r="Q85" s="14"/>
      <c r="R85" s="16"/>
      <c r="S85" s="16"/>
      <c r="T85" s="16"/>
      <c r="U85" s="16"/>
      <c r="V85" s="16" t="str">
        <f t="shared" si="22"/>
        <v/>
      </c>
    </row>
    <row r="86" ht="15.75" customHeight="1">
      <c r="A86" s="14">
        <v>5.0</v>
      </c>
      <c r="B86" s="16"/>
      <c r="C86" s="20"/>
      <c r="D86" s="16"/>
      <c r="E86" s="16"/>
      <c r="F86" s="14"/>
      <c r="G86" s="14"/>
      <c r="H86" s="14"/>
      <c r="I86" s="14"/>
      <c r="J86" s="14"/>
      <c r="K86" s="14"/>
      <c r="L86" s="14"/>
      <c r="M86" s="14"/>
      <c r="N86" s="14"/>
      <c r="O86" s="14"/>
      <c r="P86" s="14"/>
      <c r="Q86" s="14"/>
      <c r="R86" s="16"/>
      <c r="S86" s="16"/>
      <c r="T86" s="16"/>
      <c r="U86" s="16"/>
      <c r="V86" s="16" t="str">
        <f t="shared" si="22"/>
        <v/>
      </c>
    </row>
    <row r="87" ht="15.75" customHeight="1">
      <c r="A87" s="12" t="s">
        <v>152</v>
      </c>
      <c r="B87" s="13" t="s">
        <v>153</v>
      </c>
      <c r="C87" s="12" t="str">
        <f>IF(COUNTA(B88:B92)=0,"",COUNTA(B88:B92)&amp;" người")</f>
        <v/>
      </c>
      <c r="D87" s="13"/>
      <c r="E87" s="13"/>
      <c r="F87" s="19">
        <f>COUNTIF(F88:F92,"Đáp ứng")</f>
        <v>0</v>
      </c>
      <c r="G87" s="19">
        <f t="shared" ref="G87:Q87" si="23">COUNTIF(G88:G92,"x")</f>
        <v>0</v>
      </c>
      <c r="H87" s="19">
        <f t="shared" si="23"/>
        <v>0</v>
      </c>
      <c r="I87" s="19">
        <f t="shared" si="23"/>
        <v>0</v>
      </c>
      <c r="J87" s="19">
        <f t="shared" si="23"/>
        <v>0</v>
      </c>
      <c r="K87" s="19">
        <f t="shared" si="23"/>
        <v>0</v>
      </c>
      <c r="L87" s="19">
        <f t="shared" si="23"/>
        <v>0</v>
      </c>
      <c r="M87" s="19">
        <f t="shared" si="23"/>
        <v>0</v>
      </c>
      <c r="N87" s="19">
        <f t="shared" si="23"/>
        <v>0</v>
      </c>
      <c r="O87" s="19">
        <f t="shared" si="23"/>
        <v>0</v>
      </c>
      <c r="P87" s="19">
        <f t="shared" si="23"/>
        <v>0</v>
      </c>
      <c r="Q87" s="19">
        <f t="shared" si="23"/>
        <v>0</v>
      </c>
      <c r="R87" s="13"/>
      <c r="S87" s="13"/>
      <c r="T87" s="13"/>
      <c r="U87" s="13"/>
      <c r="V87" s="13"/>
    </row>
    <row r="88" ht="15.75" customHeight="1">
      <c r="A88" s="14">
        <v>1.0</v>
      </c>
      <c r="B88" s="16"/>
      <c r="C88" s="20"/>
      <c r="D88" s="16"/>
      <c r="E88" s="16"/>
      <c r="F88" s="14"/>
      <c r="G88" s="14"/>
      <c r="H88" s="14"/>
      <c r="I88" s="14"/>
      <c r="J88" s="14"/>
      <c r="K88" s="14"/>
      <c r="L88" s="14"/>
      <c r="M88" s="14"/>
      <c r="N88" s="14"/>
      <c r="O88" s="14"/>
      <c r="P88" s="14"/>
      <c r="Q88" s="14"/>
      <c r="R88" s="16"/>
      <c r="S88" s="16"/>
      <c r="T88" s="16"/>
      <c r="U88" s="16"/>
      <c r="V88" s="16" t="str">
        <f t="shared" ref="V88:V92" si="24">IF(COUNTA(B88:U88)=0,"",IF(AND(OR(F88="Đáp ứng",F88="Không đáp ứng"),COUNTIF(G88:I88,"x")=1,COUNTIF(J88:M88,"x")=1,COUNTIF(N88:Q88,"x")=1),"OK","Lệch: kiểm tra (6)-(17)"))</f>
        <v/>
      </c>
    </row>
    <row r="89" ht="15.75" customHeight="1">
      <c r="A89" s="14">
        <v>2.0</v>
      </c>
      <c r="B89" s="16"/>
      <c r="C89" s="20"/>
      <c r="D89" s="16"/>
      <c r="E89" s="16"/>
      <c r="F89" s="14"/>
      <c r="G89" s="14"/>
      <c r="H89" s="14"/>
      <c r="I89" s="14"/>
      <c r="J89" s="14"/>
      <c r="K89" s="14"/>
      <c r="L89" s="14"/>
      <c r="M89" s="14"/>
      <c r="N89" s="14"/>
      <c r="O89" s="14"/>
      <c r="P89" s="14"/>
      <c r="Q89" s="14"/>
      <c r="R89" s="16"/>
      <c r="S89" s="16"/>
      <c r="T89" s="16"/>
      <c r="U89" s="16"/>
      <c r="V89" s="16" t="str">
        <f t="shared" si="24"/>
        <v/>
      </c>
    </row>
    <row r="90" ht="15.75" customHeight="1">
      <c r="A90" s="14">
        <v>3.0</v>
      </c>
      <c r="B90" s="16"/>
      <c r="C90" s="20"/>
      <c r="D90" s="16"/>
      <c r="E90" s="16"/>
      <c r="F90" s="14"/>
      <c r="G90" s="14"/>
      <c r="H90" s="14"/>
      <c r="I90" s="14"/>
      <c r="J90" s="14"/>
      <c r="K90" s="14"/>
      <c r="L90" s="14"/>
      <c r="M90" s="14"/>
      <c r="N90" s="14"/>
      <c r="O90" s="14"/>
      <c r="P90" s="14"/>
      <c r="Q90" s="14"/>
      <c r="R90" s="16"/>
      <c r="S90" s="16"/>
      <c r="T90" s="16"/>
      <c r="U90" s="16"/>
      <c r="V90" s="16" t="str">
        <f t="shared" si="24"/>
        <v/>
      </c>
    </row>
    <row r="91" ht="15.75" customHeight="1">
      <c r="A91" s="14">
        <v>4.0</v>
      </c>
      <c r="B91" s="16"/>
      <c r="C91" s="20"/>
      <c r="D91" s="16"/>
      <c r="E91" s="16"/>
      <c r="F91" s="14"/>
      <c r="G91" s="14"/>
      <c r="H91" s="14"/>
      <c r="I91" s="14"/>
      <c r="J91" s="14"/>
      <c r="K91" s="14"/>
      <c r="L91" s="14"/>
      <c r="M91" s="14"/>
      <c r="N91" s="14"/>
      <c r="O91" s="14"/>
      <c r="P91" s="14"/>
      <c r="Q91" s="14"/>
      <c r="R91" s="16"/>
      <c r="S91" s="16"/>
      <c r="T91" s="16"/>
      <c r="U91" s="16"/>
      <c r="V91" s="16" t="str">
        <f t="shared" si="24"/>
        <v/>
      </c>
    </row>
    <row r="92" ht="15.75" customHeight="1">
      <c r="A92" s="14">
        <v>5.0</v>
      </c>
      <c r="B92" s="16"/>
      <c r="C92" s="20"/>
      <c r="D92" s="16"/>
      <c r="E92" s="16"/>
      <c r="F92" s="14"/>
      <c r="G92" s="14"/>
      <c r="H92" s="14"/>
      <c r="I92" s="14"/>
      <c r="J92" s="14"/>
      <c r="K92" s="14"/>
      <c r="L92" s="14"/>
      <c r="M92" s="14"/>
      <c r="N92" s="14"/>
      <c r="O92" s="14"/>
      <c r="P92" s="14"/>
      <c r="Q92" s="14"/>
      <c r="R92" s="16"/>
      <c r="S92" s="16"/>
      <c r="T92" s="16"/>
      <c r="U92" s="16"/>
      <c r="V92" s="16" t="str">
        <f t="shared" si="24"/>
        <v/>
      </c>
    </row>
    <row r="93" ht="15.75" customHeight="1">
      <c r="A93" s="12" t="s">
        <v>154</v>
      </c>
      <c r="B93" s="13" t="s">
        <v>155</v>
      </c>
      <c r="C93" s="12" t="str">
        <f>IF(COUNTA(B94:B98)=0,"",COUNTA(B94:B98)&amp;" người")</f>
        <v>1 người</v>
      </c>
      <c r="D93" s="13"/>
      <c r="E93" s="13"/>
      <c r="F93" s="19">
        <f>COUNTIF(F94:F98,"Đáp ứng")</f>
        <v>0</v>
      </c>
      <c r="G93" s="19">
        <f t="shared" ref="G93:Q93" si="25">COUNTIF(G94:G98,"x")</f>
        <v>0</v>
      </c>
      <c r="H93" s="19">
        <f t="shared" si="25"/>
        <v>0</v>
      </c>
      <c r="I93" s="19">
        <f t="shared" si="25"/>
        <v>0</v>
      </c>
      <c r="J93" s="19">
        <f t="shared" si="25"/>
        <v>0</v>
      </c>
      <c r="K93" s="19">
        <f t="shared" si="25"/>
        <v>0</v>
      </c>
      <c r="L93" s="19">
        <f t="shared" si="25"/>
        <v>0</v>
      </c>
      <c r="M93" s="19">
        <f t="shared" si="25"/>
        <v>0</v>
      </c>
      <c r="N93" s="19">
        <f t="shared" si="25"/>
        <v>0</v>
      </c>
      <c r="O93" s="19">
        <f t="shared" si="25"/>
        <v>0</v>
      </c>
      <c r="P93" s="19">
        <f t="shared" si="25"/>
        <v>0</v>
      </c>
      <c r="Q93" s="19">
        <f t="shared" si="25"/>
        <v>0</v>
      </c>
      <c r="R93" s="13"/>
      <c r="S93" s="13"/>
      <c r="T93" s="13"/>
      <c r="U93" s="13"/>
      <c r="V93" s="13"/>
    </row>
    <row r="94" ht="15.75" customHeight="1">
      <c r="A94" s="14">
        <v>1.0</v>
      </c>
      <c r="B94" s="24" t="s">
        <v>179</v>
      </c>
      <c r="C94" s="20"/>
      <c r="D94" s="16"/>
      <c r="E94" s="16"/>
      <c r="F94" s="14"/>
      <c r="G94" s="14"/>
      <c r="H94" s="14"/>
      <c r="I94" s="14"/>
      <c r="J94" s="14"/>
      <c r="K94" s="14"/>
      <c r="L94" s="14"/>
      <c r="M94" s="14"/>
      <c r="N94" s="14"/>
      <c r="O94" s="14"/>
      <c r="P94" s="14"/>
      <c r="Q94" s="14"/>
      <c r="R94" s="16"/>
      <c r="S94" s="16"/>
      <c r="T94" s="16"/>
      <c r="U94" s="16"/>
      <c r="V94" s="16" t="str">
        <f t="shared" ref="V94:V98" si="26">IF(COUNTA(B94:U94)=0,"",IF(AND(OR(F94="Đáp ứng",F94="Không đáp ứng"),COUNTIF(G94:I94,"x")=1,COUNTIF(J94:M94,"x")=1,COUNTIF(N94:Q94,"x")=1),"OK","Lệch: kiểm tra (6)-(17)"))</f>
        <v>Lệch: kiểm tra (6)-(17)</v>
      </c>
    </row>
    <row r="95" ht="15.75" customHeight="1">
      <c r="A95" s="14">
        <v>2.0</v>
      </c>
      <c r="B95" s="16"/>
      <c r="C95" s="20"/>
      <c r="D95" s="16"/>
      <c r="E95" s="16"/>
      <c r="F95" s="14"/>
      <c r="G95" s="14"/>
      <c r="H95" s="14"/>
      <c r="I95" s="14"/>
      <c r="J95" s="14"/>
      <c r="K95" s="14"/>
      <c r="L95" s="14"/>
      <c r="M95" s="14"/>
      <c r="N95" s="14"/>
      <c r="O95" s="14"/>
      <c r="P95" s="14"/>
      <c r="Q95" s="14"/>
      <c r="R95" s="16"/>
      <c r="S95" s="16"/>
      <c r="T95" s="16"/>
      <c r="U95" s="16"/>
      <c r="V95" s="16" t="str">
        <f t="shared" si="26"/>
        <v/>
      </c>
    </row>
    <row r="96" ht="15.75" customHeight="1">
      <c r="A96" s="14">
        <v>3.0</v>
      </c>
      <c r="B96" s="16"/>
      <c r="C96" s="20"/>
      <c r="D96" s="16"/>
      <c r="E96" s="16"/>
      <c r="F96" s="14"/>
      <c r="G96" s="14"/>
      <c r="H96" s="14"/>
      <c r="I96" s="14"/>
      <c r="J96" s="14"/>
      <c r="K96" s="14"/>
      <c r="L96" s="14"/>
      <c r="M96" s="14"/>
      <c r="N96" s="14"/>
      <c r="O96" s="14"/>
      <c r="P96" s="14"/>
      <c r="Q96" s="14"/>
      <c r="R96" s="16"/>
      <c r="S96" s="16"/>
      <c r="T96" s="16"/>
      <c r="U96" s="16"/>
      <c r="V96" s="16" t="str">
        <f t="shared" si="26"/>
        <v/>
      </c>
    </row>
    <row r="97" ht="15.75" customHeight="1">
      <c r="A97" s="14">
        <v>4.0</v>
      </c>
      <c r="B97" s="16"/>
      <c r="C97" s="20"/>
      <c r="D97" s="16"/>
      <c r="E97" s="16"/>
      <c r="F97" s="14"/>
      <c r="G97" s="14"/>
      <c r="H97" s="14"/>
      <c r="I97" s="14"/>
      <c r="J97" s="14"/>
      <c r="K97" s="14"/>
      <c r="L97" s="14"/>
      <c r="M97" s="14"/>
      <c r="N97" s="14"/>
      <c r="O97" s="14"/>
      <c r="P97" s="14"/>
      <c r="Q97" s="14"/>
      <c r="R97" s="16"/>
      <c r="S97" s="16"/>
      <c r="T97" s="16"/>
      <c r="U97" s="16"/>
      <c r="V97" s="16" t="str">
        <f t="shared" si="26"/>
        <v/>
      </c>
    </row>
    <row r="98" ht="15.75" customHeight="1">
      <c r="A98" s="14">
        <v>5.0</v>
      </c>
      <c r="B98" s="16"/>
      <c r="C98" s="20"/>
      <c r="D98" s="16"/>
      <c r="E98" s="16"/>
      <c r="F98" s="14"/>
      <c r="G98" s="14"/>
      <c r="H98" s="14"/>
      <c r="I98" s="14"/>
      <c r="J98" s="14"/>
      <c r="K98" s="14"/>
      <c r="L98" s="14"/>
      <c r="M98" s="14"/>
      <c r="N98" s="14"/>
      <c r="O98" s="14"/>
      <c r="P98" s="14"/>
      <c r="Q98" s="14"/>
      <c r="R98" s="16"/>
      <c r="S98" s="16"/>
      <c r="T98" s="16"/>
      <c r="U98" s="16"/>
      <c r="V98" s="16" t="str">
        <f t="shared" si="26"/>
        <v/>
      </c>
    </row>
    <row r="99" ht="15.75" customHeight="1">
      <c r="A99" s="12" t="s">
        <v>156</v>
      </c>
      <c r="B99" s="13" t="s">
        <v>157</v>
      </c>
      <c r="C99" s="12" t="str">
        <f>IF(COUNTA(B100:B104)=0,"",COUNTA(B100:B104)&amp;" người")</f>
        <v/>
      </c>
      <c r="D99" s="13"/>
      <c r="E99" s="13"/>
      <c r="F99" s="19">
        <f>COUNTIF(F100:F104,"Đáp ứng")</f>
        <v>0</v>
      </c>
      <c r="G99" s="19">
        <f t="shared" ref="G99:Q99" si="27">COUNTIF(G100:G104,"x")</f>
        <v>0</v>
      </c>
      <c r="H99" s="19">
        <f t="shared" si="27"/>
        <v>0</v>
      </c>
      <c r="I99" s="19">
        <f t="shared" si="27"/>
        <v>0</v>
      </c>
      <c r="J99" s="19">
        <f t="shared" si="27"/>
        <v>0</v>
      </c>
      <c r="K99" s="19">
        <f t="shared" si="27"/>
        <v>0</v>
      </c>
      <c r="L99" s="19">
        <f t="shared" si="27"/>
        <v>0</v>
      </c>
      <c r="M99" s="19">
        <f t="shared" si="27"/>
        <v>0</v>
      </c>
      <c r="N99" s="19">
        <f t="shared" si="27"/>
        <v>0</v>
      </c>
      <c r="O99" s="19">
        <f t="shared" si="27"/>
        <v>0</v>
      </c>
      <c r="P99" s="19">
        <f t="shared" si="27"/>
        <v>0</v>
      </c>
      <c r="Q99" s="19">
        <f t="shared" si="27"/>
        <v>0</v>
      </c>
      <c r="R99" s="13"/>
      <c r="S99" s="13"/>
      <c r="T99" s="13"/>
      <c r="U99" s="13"/>
      <c r="V99" s="13"/>
    </row>
    <row r="100" ht="15.75" customHeight="1">
      <c r="A100" s="14">
        <v>1.0</v>
      </c>
      <c r="B100" s="16"/>
      <c r="C100" s="20"/>
      <c r="D100" s="16"/>
      <c r="E100" s="16"/>
      <c r="F100" s="14"/>
      <c r="G100" s="14"/>
      <c r="H100" s="14"/>
      <c r="I100" s="14"/>
      <c r="J100" s="14"/>
      <c r="K100" s="14"/>
      <c r="L100" s="14"/>
      <c r="M100" s="14"/>
      <c r="N100" s="14"/>
      <c r="O100" s="14"/>
      <c r="P100" s="14"/>
      <c r="Q100" s="14"/>
      <c r="R100" s="16"/>
      <c r="S100" s="16"/>
      <c r="T100" s="16"/>
      <c r="U100" s="16"/>
      <c r="V100" s="16" t="str">
        <f t="shared" ref="V100:V104" si="28">IF(COUNTA(B100:U100)=0,"",IF(AND(OR(F100="Đáp ứng",F100="Không đáp ứng"),COUNTIF(G100:I100,"x")=1,COUNTIF(J100:M100,"x")=1,COUNTIF(N100:Q100,"x")=1),"OK","Lệch: kiểm tra (6)-(17)"))</f>
        <v/>
      </c>
    </row>
    <row r="101" ht="15.75" customHeight="1">
      <c r="A101" s="14">
        <v>2.0</v>
      </c>
      <c r="B101" s="16"/>
      <c r="C101" s="20"/>
      <c r="D101" s="16"/>
      <c r="E101" s="16"/>
      <c r="F101" s="14"/>
      <c r="G101" s="14"/>
      <c r="H101" s="14"/>
      <c r="I101" s="14"/>
      <c r="J101" s="14"/>
      <c r="K101" s="14"/>
      <c r="L101" s="14"/>
      <c r="M101" s="14"/>
      <c r="N101" s="14"/>
      <c r="O101" s="14"/>
      <c r="P101" s="14"/>
      <c r="Q101" s="14"/>
      <c r="R101" s="16"/>
      <c r="S101" s="16"/>
      <c r="T101" s="16"/>
      <c r="U101" s="16"/>
      <c r="V101" s="16" t="str">
        <f t="shared" si="28"/>
        <v/>
      </c>
    </row>
    <row r="102" ht="15.75" customHeight="1">
      <c r="A102" s="14">
        <v>3.0</v>
      </c>
      <c r="B102" s="16"/>
      <c r="C102" s="20"/>
      <c r="D102" s="16"/>
      <c r="E102" s="16"/>
      <c r="F102" s="14"/>
      <c r="G102" s="14"/>
      <c r="H102" s="14"/>
      <c r="I102" s="14"/>
      <c r="J102" s="14"/>
      <c r="K102" s="14"/>
      <c r="L102" s="14"/>
      <c r="M102" s="14"/>
      <c r="N102" s="14"/>
      <c r="O102" s="14"/>
      <c r="P102" s="14"/>
      <c r="Q102" s="14"/>
      <c r="R102" s="16"/>
      <c r="S102" s="16"/>
      <c r="T102" s="16"/>
      <c r="U102" s="16"/>
      <c r="V102" s="16" t="str">
        <f t="shared" si="28"/>
        <v/>
      </c>
    </row>
    <row r="103" ht="15.75" customHeight="1">
      <c r="A103" s="14">
        <v>4.0</v>
      </c>
      <c r="B103" s="16"/>
      <c r="C103" s="20"/>
      <c r="D103" s="16"/>
      <c r="E103" s="16"/>
      <c r="F103" s="14"/>
      <c r="G103" s="14"/>
      <c r="H103" s="14"/>
      <c r="I103" s="14"/>
      <c r="J103" s="14"/>
      <c r="K103" s="14"/>
      <c r="L103" s="14"/>
      <c r="M103" s="14"/>
      <c r="N103" s="14"/>
      <c r="O103" s="14"/>
      <c r="P103" s="14"/>
      <c r="Q103" s="14"/>
      <c r="R103" s="16"/>
      <c r="S103" s="16"/>
      <c r="T103" s="16"/>
      <c r="U103" s="16"/>
      <c r="V103" s="16" t="str">
        <f t="shared" si="28"/>
        <v/>
      </c>
    </row>
    <row r="104" ht="15.75" customHeight="1">
      <c r="A104" s="14">
        <v>5.0</v>
      </c>
      <c r="B104" s="16"/>
      <c r="C104" s="20"/>
      <c r="D104" s="16"/>
      <c r="E104" s="16"/>
      <c r="F104" s="14"/>
      <c r="G104" s="14"/>
      <c r="H104" s="14"/>
      <c r="I104" s="14"/>
      <c r="J104" s="14"/>
      <c r="K104" s="14"/>
      <c r="L104" s="14"/>
      <c r="M104" s="14"/>
      <c r="N104" s="14"/>
      <c r="O104" s="14"/>
      <c r="P104" s="14"/>
      <c r="Q104" s="14"/>
      <c r="R104" s="16"/>
      <c r="S104" s="16"/>
      <c r="T104" s="16"/>
      <c r="U104" s="16"/>
      <c r="V104" s="16" t="str">
        <f t="shared" si="28"/>
        <v/>
      </c>
    </row>
    <row r="105" ht="15.75" customHeight="1">
      <c r="A105" s="12" t="s">
        <v>158</v>
      </c>
      <c r="B105" s="13" t="s">
        <v>159</v>
      </c>
      <c r="C105" s="12" t="str">
        <f>IF(COUNTA(B106:B110)=0,"",COUNTA(B106:B110)&amp;" người")</f>
        <v/>
      </c>
      <c r="D105" s="13"/>
      <c r="E105" s="13"/>
      <c r="F105" s="19">
        <f>COUNTIF(F106:F110,"Đáp ứng")</f>
        <v>0</v>
      </c>
      <c r="G105" s="19">
        <f t="shared" ref="G105:Q105" si="29">COUNTIF(G106:G110,"x")</f>
        <v>0</v>
      </c>
      <c r="H105" s="19">
        <f t="shared" si="29"/>
        <v>0</v>
      </c>
      <c r="I105" s="19">
        <f t="shared" si="29"/>
        <v>0</v>
      </c>
      <c r="J105" s="19">
        <f t="shared" si="29"/>
        <v>0</v>
      </c>
      <c r="K105" s="19">
        <f t="shared" si="29"/>
        <v>0</v>
      </c>
      <c r="L105" s="19">
        <f t="shared" si="29"/>
        <v>0</v>
      </c>
      <c r="M105" s="19">
        <f t="shared" si="29"/>
        <v>0</v>
      </c>
      <c r="N105" s="19">
        <f t="shared" si="29"/>
        <v>0</v>
      </c>
      <c r="O105" s="19">
        <f t="shared" si="29"/>
        <v>0</v>
      </c>
      <c r="P105" s="19">
        <f t="shared" si="29"/>
        <v>0</v>
      </c>
      <c r="Q105" s="19">
        <f t="shared" si="29"/>
        <v>0</v>
      </c>
      <c r="R105" s="13"/>
      <c r="S105" s="13"/>
      <c r="T105" s="13"/>
      <c r="U105" s="13"/>
      <c r="V105" s="13"/>
    </row>
    <row r="106" ht="15.75" customHeight="1">
      <c r="A106" s="14">
        <v>1.0</v>
      </c>
      <c r="B106" s="16"/>
      <c r="C106" s="20"/>
      <c r="D106" s="16"/>
      <c r="E106" s="16"/>
      <c r="F106" s="14"/>
      <c r="G106" s="14"/>
      <c r="H106" s="14"/>
      <c r="I106" s="14"/>
      <c r="J106" s="14"/>
      <c r="K106" s="14"/>
      <c r="L106" s="14"/>
      <c r="M106" s="14"/>
      <c r="N106" s="14"/>
      <c r="O106" s="14"/>
      <c r="P106" s="14"/>
      <c r="Q106" s="14"/>
      <c r="R106" s="16"/>
      <c r="S106" s="16"/>
      <c r="T106" s="16"/>
      <c r="U106" s="16"/>
      <c r="V106" s="16" t="str">
        <f t="shared" ref="V106:V110" si="30">IF(COUNTA(B106:U106)=0,"",IF(AND(OR(F106="Đáp ứng",F106="Không đáp ứng"),COUNTIF(G106:I106,"x")=1,COUNTIF(J106:M106,"x")=1,COUNTIF(N106:Q106,"x")=1),"OK","Lệch: kiểm tra (6)-(17)"))</f>
        <v/>
      </c>
    </row>
    <row r="107" ht="15.75" customHeight="1">
      <c r="A107" s="14">
        <v>2.0</v>
      </c>
      <c r="B107" s="16"/>
      <c r="C107" s="20"/>
      <c r="D107" s="16"/>
      <c r="E107" s="16"/>
      <c r="F107" s="14"/>
      <c r="G107" s="14"/>
      <c r="H107" s="14"/>
      <c r="I107" s="14"/>
      <c r="J107" s="14"/>
      <c r="K107" s="14"/>
      <c r="L107" s="14"/>
      <c r="M107" s="14"/>
      <c r="N107" s="14"/>
      <c r="O107" s="14"/>
      <c r="P107" s="14"/>
      <c r="Q107" s="14"/>
      <c r="R107" s="16"/>
      <c r="S107" s="16"/>
      <c r="T107" s="16"/>
      <c r="U107" s="16"/>
      <c r="V107" s="16" t="str">
        <f t="shared" si="30"/>
        <v/>
      </c>
    </row>
    <row r="108" ht="15.75" customHeight="1">
      <c r="A108" s="14">
        <v>3.0</v>
      </c>
      <c r="B108" s="16"/>
      <c r="C108" s="20"/>
      <c r="D108" s="16"/>
      <c r="E108" s="16"/>
      <c r="F108" s="14"/>
      <c r="G108" s="14"/>
      <c r="H108" s="14"/>
      <c r="I108" s="14"/>
      <c r="J108" s="14"/>
      <c r="K108" s="14"/>
      <c r="L108" s="14"/>
      <c r="M108" s="14"/>
      <c r="N108" s="14"/>
      <c r="O108" s="14"/>
      <c r="P108" s="14"/>
      <c r="Q108" s="14"/>
      <c r="R108" s="16"/>
      <c r="S108" s="16"/>
      <c r="T108" s="16"/>
      <c r="U108" s="16"/>
      <c r="V108" s="16" t="str">
        <f t="shared" si="30"/>
        <v/>
      </c>
    </row>
    <row r="109" ht="15.75" customHeight="1">
      <c r="A109" s="14">
        <v>4.0</v>
      </c>
      <c r="B109" s="16"/>
      <c r="C109" s="20"/>
      <c r="D109" s="16"/>
      <c r="E109" s="16"/>
      <c r="F109" s="14"/>
      <c r="G109" s="14"/>
      <c r="H109" s="14"/>
      <c r="I109" s="14"/>
      <c r="J109" s="14"/>
      <c r="K109" s="14"/>
      <c r="L109" s="14"/>
      <c r="M109" s="14"/>
      <c r="N109" s="14"/>
      <c r="O109" s="14"/>
      <c r="P109" s="14"/>
      <c r="Q109" s="14"/>
      <c r="R109" s="16"/>
      <c r="S109" s="16"/>
      <c r="T109" s="16"/>
      <c r="U109" s="16"/>
      <c r="V109" s="16" t="str">
        <f t="shared" si="30"/>
        <v/>
      </c>
    </row>
    <row r="110" ht="15.75" customHeight="1">
      <c r="A110" s="14">
        <v>5.0</v>
      </c>
      <c r="B110" s="16"/>
      <c r="C110" s="20"/>
      <c r="D110" s="16"/>
      <c r="E110" s="16"/>
      <c r="F110" s="14"/>
      <c r="G110" s="14"/>
      <c r="H110" s="14"/>
      <c r="I110" s="14"/>
      <c r="J110" s="14"/>
      <c r="K110" s="14"/>
      <c r="L110" s="14"/>
      <c r="M110" s="14"/>
      <c r="N110" s="14"/>
      <c r="O110" s="14"/>
      <c r="P110" s="14"/>
      <c r="Q110" s="14"/>
      <c r="R110" s="16"/>
      <c r="S110" s="16"/>
      <c r="T110" s="16"/>
      <c r="U110" s="16"/>
      <c r="V110" s="16" t="str">
        <f t="shared" si="30"/>
        <v/>
      </c>
    </row>
    <row r="111" ht="15.75" customHeight="1">
      <c r="A111" s="12" t="s">
        <v>160</v>
      </c>
      <c r="B111" s="13" t="s">
        <v>161</v>
      </c>
      <c r="C111" s="12" t="str">
        <f>IF(COUNTA(B112:B116)=0,"",COUNTA(B112:B116)&amp;" người")</f>
        <v/>
      </c>
      <c r="D111" s="13"/>
      <c r="E111" s="13"/>
      <c r="F111" s="19">
        <f>COUNTIF(F112:F116,"Đáp ứng")</f>
        <v>0</v>
      </c>
      <c r="G111" s="19">
        <f t="shared" ref="G111:Q111" si="31">COUNTIF(G112:G116,"x")</f>
        <v>0</v>
      </c>
      <c r="H111" s="19">
        <f t="shared" si="31"/>
        <v>0</v>
      </c>
      <c r="I111" s="19">
        <f t="shared" si="31"/>
        <v>0</v>
      </c>
      <c r="J111" s="19">
        <f t="shared" si="31"/>
        <v>0</v>
      </c>
      <c r="K111" s="19">
        <f t="shared" si="31"/>
        <v>0</v>
      </c>
      <c r="L111" s="19">
        <f t="shared" si="31"/>
        <v>0</v>
      </c>
      <c r="M111" s="19">
        <f t="shared" si="31"/>
        <v>0</v>
      </c>
      <c r="N111" s="19">
        <f t="shared" si="31"/>
        <v>0</v>
      </c>
      <c r="O111" s="19">
        <f t="shared" si="31"/>
        <v>0</v>
      </c>
      <c r="P111" s="19">
        <f t="shared" si="31"/>
        <v>0</v>
      </c>
      <c r="Q111" s="19">
        <f t="shared" si="31"/>
        <v>0</v>
      </c>
      <c r="R111" s="13"/>
      <c r="S111" s="13"/>
      <c r="T111" s="13"/>
      <c r="U111" s="13"/>
      <c r="V111" s="13"/>
    </row>
    <row r="112" ht="15.75" customHeight="1">
      <c r="A112" s="14">
        <v>1.0</v>
      </c>
      <c r="B112" s="16"/>
      <c r="C112" s="20"/>
      <c r="D112" s="16"/>
      <c r="E112" s="16"/>
      <c r="F112" s="14"/>
      <c r="G112" s="14"/>
      <c r="H112" s="14"/>
      <c r="I112" s="14"/>
      <c r="J112" s="14"/>
      <c r="K112" s="14"/>
      <c r="L112" s="14"/>
      <c r="M112" s="14"/>
      <c r="N112" s="14"/>
      <c r="O112" s="14"/>
      <c r="P112" s="14"/>
      <c r="Q112" s="14"/>
      <c r="R112" s="16"/>
      <c r="S112" s="16"/>
      <c r="T112" s="16"/>
      <c r="U112" s="16"/>
      <c r="V112" s="16" t="str">
        <f t="shared" ref="V112:V116" si="32">IF(COUNTA(B112:U112)=0,"",IF(AND(OR(F112="Đáp ứng",F112="Không đáp ứng"),COUNTIF(G112:I112,"x")=1,COUNTIF(J112:M112,"x")=1,COUNTIF(N112:Q112,"x")=1),"OK","Lệch: kiểm tra (6)-(17)"))</f>
        <v/>
      </c>
    </row>
    <row r="113" ht="15.75" customHeight="1">
      <c r="A113" s="14">
        <v>2.0</v>
      </c>
      <c r="B113" s="16"/>
      <c r="C113" s="20"/>
      <c r="D113" s="16"/>
      <c r="E113" s="16"/>
      <c r="F113" s="14"/>
      <c r="G113" s="14"/>
      <c r="H113" s="14"/>
      <c r="I113" s="14"/>
      <c r="J113" s="14"/>
      <c r="K113" s="14"/>
      <c r="L113" s="14"/>
      <c r="M113" s="14"/>
      <c r="N113" s="14"/>
      <c r="O113" s="14"/>
      <c r="P113" s="14"/>
      <c r="Q113" s="14"/>
      <c r="R113" s="16"/>
      <c r="S113" s="16"/>
      <c r="T113" s="16"/>
      <c r="U113" s="16"/>
      <c r="V113" s="16" t="str">
        <f t="shared" si="32"/>
        <v/>
      </c>
    </row>
    <row r="114" ht="15.75" customHeight="1">
      <c r="A114" s="14">
        <v>3.0</v>
      </c>
      <c r="B114" s="16"/>
      <c r="C114" s="20"/>
      <c r="D114" s="16"/>
      <c r="E114" s="16"/>
      <c r="F114" s="14"/>
      <c r="G114" s="14"/>
      <c r="H114" s="14"/>
      <c r="I114" s="14"/>
      <c r="J114" s="14"/>
      <c r="K114" s="14"/>
      <c r="L114" s="14"/>
      <c r="M114" s="14"/>
      <c r="N114" s="14"/>
      <c r="O114" s="14"/>
      <c r="P114" s="14"/>
      <c r="Q114" s="14"/>
      <c r="R114" s="16"/>
      <c r="S114" s="16"/>
      <c r="T114" s="16"/>
      <c r="U114" s="16"/>
      <c r="V114" s="16" t="str">
        <f t="shared" si="32"/>
        <v/>
      </c>
    </row>
    <row r="115" ht="15.75" customHeight="1">
      <c r="A115" s="14">
        <v>4.0</v>
      </c>
      <c r="B115" s="16"/>
      <c r="C115" s="20"/>
      <c r="D115" s="16"/>
      <c r="E115" s="16"/>
      <c r="F115" s="14"/>
      <c r="G115" s="14"/>
      <c r="H115" s="14"/>
      <c r="I115" s="14"/>
      <c r="J115" s="14"/>
      <c r="K115" s="14"/>
      <c r="L115" s="14"/>
      <c r="M115" s="14"/>
      <c r="N115" s="14"/>
      <c r="O115" s="14"/>
      <c r="P115" s="14"/>
      <c r="Q115" s="14"/>
      <c r="R115" s="16"/>
      <c r="S115" s="16"/>
      <c r="T115" s="16"/>
      <c r="U115" s="16"/>
      <c r="V115" s="16" t="str">
        <f t="shared" si="32"/>
        <v/>
      </c>
    </row>
    <row r="116" ht="15.75" customHeight="1">
      <c r="A116" s="14">
        <v>5.0</v>
      </c>
      <c r="B116" s="16"/>
      <c r="C116" s="20"/>
      <c r="D116" s="16"/>
      <c r="E116" s="16"/>
      <c r="F116" s="14"/>
      <c r="G116" s="14"/>
      <c r="H116" s="14"/>
      <c r="I116" s="14"/>
      <c r="J116" s="14"/>
      <c r="K116" s="14"/>
      <c r="L116" s="14"/>
      <c r="M116" s="14"/>
      <c r="N116" s="14"/>
      <c r="O116" s="14"/>
      <c r="P116" s="14"/>
      <c r="Q116" s="14"/>
      <c r="R116" s="16"/>
      <c r="S116" s="16"/>
      <c r="T116" s="16"/>
      <c r="U116" s="16"/>
      <c r="V116" s="16" t="str">
        <f t="shared" si="32"/>
        <v/>
      </c>
    </row>
    <row r="117" ht="15.75" customHeight="1">
      <c r="A117" s="12" t="s">
        <v>162</v>
      </c>
      <c r="B117" s="13" t="s">
        <v>163</v>
      </c>
      <c r="C117" s="12" t="str">
        <f>IF(COUNTA(B118:B122)=0,"",COUNTA(B118:B122)&amp;" người")</f>
        <v/>
      </c>
      <c r="D117" s="13"/>
      <c r="E117" s="13"/>
      <c r="F117" s="19">
        <f>COUNTIF(F118:F122,"Đáp ứng")</f>
        <v>0</v>
      </c>
      <c r="G117" s="19">
        <f t="shared" ref="G117:Q117" si="33">COUNTIF(G118:G122,"x")</f>
        <v>0</v>
      </c>
      <c r="H117" s="19">
        <f t="shared" si="33"/>
        <v>0</v>
      </c>
      <c r="I117" s="19">
        <f t="shared" si="33"/>
        <v>0</v>
      </c>
      <c r="J117" s="19">
        <f t="shared" si="33"/>
        <v>0</v>
      </c>
      <c r="K117" s="19">
        <f t="shared" si="33"/>
        <v>0</v>
      </c>
      <c r="L117" s="19">
        <f t="shared" si="33"/>
        <v>0</v>
      </c>
      <c r="M117" s="19">
        <f t="shared" si="33"/>
        <v>0</v>
      </c>
      <c r="N117" s="19">
        <f t="shared" si="33"/>
        <v>0</v>
      </c>
      <c r="O117" s="19">
        <f t="shared" si="33"/>
        <v>0</v>
      </c>
      <c r="P117" s="19">
        <f t="shared" si="33"/>
        <v>0</v>
      </c>
      <c r="Q117" s="19">
        <f t="shared" si="33"/>
        <v>0</v>
      </c>
      <c r="R117" s="13"/>
      <c r="S117" s="13"/>
      <c r="T117" s="13"/>
      <c r="U117" s="13"/>
      <c r="V117" s="13"/>
    </row>
    <row r="118" ht="15.75" customHeight="1">
      <c r="A118" s="14">
        <v>1.0</v>
      </c>
      <c r="B118" s="16"/>
      <c r="C118" s="20"/>
      <c r="D118" s="16"/>
      <c r="E118" s="16"/>
      <c r="F118" s="14"/>
      <c r="G118" s="14"/>
      <c r="H118" s="14"/>
      <c r="I118" s="14"/>
      <c r="J118" s="14"/>
      <c r="K118" s="14"/>
      <c r="L118" s="14"/>
      <c r="M118" s="14"/>
      <c r="N118" s="14"/>
      <c r="O118" s="14"/>
      <c r="P118" s="14"/>
      <c r="Q118" s="14"/>
      <c r="R118" s="16"/>
      <c r="S118" s="16"/>
      <c r="T118" s="16"/>
      <c r="U118" s="16"/>
      <c r="V118" s="16" t="str">
        <f t="shared" ref="V118:V122" si="34">IF(COUNTA(B118:U118)=0,"",IF(AND(OR(F118="Đáp ứng",F118="Không đáp ứng"),COUNTIF(G118:I118,"x")=1,COUNTIF(J118:M118,"x")=1,COUNTIF(N118:Q118,"x")=1),"OK","Lệch: kiểm tra (6)-(17)"))</f>
        <v/>
      </c>
    </row>
    <row r="119" ht="15.75" customHeight="1">
      <c r="A119" s="14">
        <v>2.0</v>
      </c>
      <c r="B119" s="16"/>
      <c r="C119" s="20"/>
      <c r="D119" s="16"/>
      <c r="E119" s="16"/>
      <c r="F119" s="14"/>
      <c r="G119" s="14"/>
      <c r="H119" s="14"/>
      <c r="I119" s="14"/>
      <c r="J119" s="14"/>
      <c r="K119" s="14"/>
      <c r="L119" s="14"/>
      <c r="M119" s="14"/>
      <c r="N119" s="14"/>
      <c r="O119" s="14"/>
      <c r="P119" s="14"/>
      <c r="Q119" s="14"/>
      <c r="R119" s="16"/>
      <c r="S119" s="16"/>
      <c r="T119" s="16"/>
      <c r="U119" s="16"/>
      <c r="V119" s="16" t="str">
        <f t="shared" si="34"/>
        <v/>
      </c>
    </row>
    <row r="120" ht="15.75" customHeight="1">
      <c r="A120" s="14">
        <v>3.0</v>
      </c>
      <c r="B120" s="16"/>
      <c r="C120" s="20"/>
      <c r="D120" s="16"/>
      <c r="E120" s="16"/>
      <c r="F120" s="14"/>
      <c r="G120" s="14"/>
      <c r="H120" s="14"/>
      <c r="I120" s="14"/>
      <c r="J120" s="14"/>
      <c r="K120" s="14"/>
      <c r="L120" s="14"/>
      <c r="M120" s="14"/>
      <c r="N120" s="14"/>
      <c r="O120" s="14"/>
      <c r="P120" s="14"/>
      <c r="Q120" s="14"/>
      <c r="R120" s="16"/>
      <c r="S120" s="16"/>
      <c r="T120" s="16"/>
      <c r="U120" s="16"/>
      <c r="V120" s="16" t="str">
        <f t="shared" si="34"/>
        <v/>
      </c>
    </row>
    <row r="121" ht="15.75" customHeight="1">
      <c r="A121" s="14">
        <v>4.0</v>
      </c>
      <c r="B121" s="16"/>
      <c r="C121" s="20"/>
      <c r="D121" s="16"/>
      <c r="E121" s="16"/>
      <c r="F121" s="14"/>
      <c r="G121" s="14"/>
      <c r="H121" s="14"/>
      <c r="I121" s="14"/>
      <c r="J121" s="14"/>
      <c r="K121" s="14"/>
      <c r="L121" s="14"/>
      <c r="M121" s="14"/>
      <c r="N121" s="14"/>
      <c r="O121" s="14"/>
      <c r="P121" s="14"/>
      <c r="Q121" s="14"/>
      <c r="R121" s="16"/>
      <c r="S121" s="16"/>
      <c r="T121" s="16"/>
      <c r="U121" s="16"/>
      <c r="V121" s="16" t="str">
        <f t="shared" si="34"/>
        <v/>
      </c>
    </row>
    <row r="122" ht="15.75" customHeight="1">
      <c r="A122" s="14">
        <v>5.0</v>
      </c>
      <c r="B122" s="16"/>
      <c r="C122" s="20"/>
      <c r="D122" s="16"/>
      <c r="E122" s="16"/>
      <c r="F122" s="14"/>
      <c r="G122" s="14"/>
      <c r="H122" s="14"/>
      <c r="I122" s="14"/>
      <c r="J122" s="14"/>
      <c r="K122" s="14"/>
      <c r="L122" s="14"/>
      <c r="M122" s="14"/>
      <c r="N122" s="14"/>
      <c r="O122" s="14"/>
      <c r="P122" s="14"/>
      <c r="Q122" s="14"/>
      <c r="R122" s="16"/>
      <c r="S122" s="16"/>
      <c r="T122" s="16"/>
      <c r="U122" s="16"/>
      <c r="V122" s="16" t="str">
        <f t="shared" si="34"/>
        <v/>
      </c>
    </row>
    <row r="123" ht="15.75" customHeight="1">
      <c r="A123" s="12" t="s">
        <v>164</v>
      </c>
      <c r="B123" s="13" t="s">
        <v>165</v>
      </c>
      <c r="C123" s="12" t="str">
        <f>IF(COUNTA(B124:B128)=0,"",COUNTA(B124:B128)&amp;" người")</f>
        <v/>
      </c>
      <c r="D123" s="13"/>
      <c r="E123" s="13"/>
      <c r="F123" s="19">
        <f>COUNTIF(F124:F128,"Đáp ứng")</f>
        <v>0</v>
      </c>
      <c r="G123" s="19">
        <f t="shared" ref="G123:Q123" si="35">COUNTIF(G124:G128,"x")</f>
        <v>0</v>
      </c>
      <c r="H123" s="19">
        <f t="shared" si="35"/>
        <v>0</v>
      </c>
      <c r="I123" s="19">
        <f t="shared" si="35"/>
        <v>0</v>
      </c>
      <c r="J123" s="19">
        <f t="shared" si="35"/>
        <v>0</v>
      </c>
      <c r="K123" s="19">
        <f t="shared" si="35"/>
        <v>0</v>
      </c>
      <c r="L123" s="19">
        <f t="shared" si="35"/>
        <v>0</v>
      </c>
      <c r="M123" s="19">
        <f t="shared" si="35"/>
        <v>0</v>
      </c>
      <c r="N123" s="19">
        <f t="shared" si="35"/>
        <v>0</v>
      </c>
      <c r="O123" s="19">
        <f t="shared" si="35"/>
        <v>0</v>
      </c>
      <c r="P123" s="19">
        <f t="shared" si="35"/>
        <v>0</v>
      </c>
      <c r="Q123" s="19">
        <f t="shared" si="35"/>
        <v>0</v>
      </c>
      <c r="R123" s="13"/>
      <c r="S123" s="13"/>
      <c r="T123" s="13"/>
      <c r="U123" s="13"/>
      <c r="V123" s="13"/>
    </row>
    <row r="124" ht="15.75" customHeight="1">
      <c r="A124" s="14">
        <v>1.0</v>
      </c>
      <c r="B124" s="16"/>
      <c r="C124" s="20"/>
      <c r="D124" s="16"/>
      <c r="E124" s="16"/>
      <c r="F124" s="14"/>
      <c r="G124" s="14"/>
      <c r="H124" s="14"/>
      <c r="I124" s="14"/>
      <c r="J124" s="14"/>
      <c r="K124" s="14"/>
      <c r="L124" s="14"/>
      <c r="M124" s="14"/>
      <c r="N124" s="14"/>
      <c r="O124" s="14"/>
      <c r="P124" s="14"/>
      <c r="Q124" s="14"/>
      <c r="R124" s="16"/>
      <c r="S124" s="16"/>
      <c r="T124" s="16"/>
      <c r="U124" s="16"/>
      <c r="V124" s="16" t="str">
        <f t="shared" ref="V124:V128" si="36">IF(COUNTA(B124:U124)=0,"",IF(AND(OR(F124="Đáp ứng",F124="Không đáp ứng"),COUNTIF(G124:I124,"x")=1,COUNTIF(J124:M124,"x")=1,COUNTIF(N124:Q124,"x")=1),"OK","Lệch: kiểm tra (6)-(17)"))</f>
        <v/>
      </c>
    </row>
    <row r="125" ht="15.75" customHeight="1">
      <c r="A125" s="14">
        <v>2.0</v>
      </c>
      <c r="B125" s="16"/>
      <c r="C125" s="20"/>
      <c r="D125" s="16"/>
      <c r="E125" s="16"/>
      <c r="F125" s="14"/>
      <c r="G125" s="14"/>
      <c r="H125" s="14"/>
      <c r="I125" s="14"/>
      <c r="J125" s="14"/>
      <c r="K125" s="14"/>
      <c r="L125" s="14"/>
      <c r="M125" s="14"/>
      <c r="N125" s="14"/>
      <c r="O125" s="14"/>
      <c r="P125" s="14"/>
      <c r="Q125" s="14"/>
      <c r="R125" s="16"/>
      <c r="S125" s="16"/>
      <c r="T125" s="16"/>
      <c r="U125" s="16"/>
      <c r="V125" s="16" t="str">
        <f t="shared" si="36"/>
        <v/>
      </c>
    </row>
    <row r="126" ht="15.75" customHeight="1">
      <c r="A126" s="14">
        <v>3.0</v>
      </c>
      <c r="B126" s="16"/>
      <c r="C126" s="20"/>
      <c r="D126" s="16"/>
      <c r="E126" s="16"/>
      <c r="F126" s="14"/>
      <c r="G126" s="14"/>
      <c r="H126" s="14"/>
      <c r="I126" s="14"/>
      <c r="J126" s="14"/>
      <c r="K126" s="14"/>
      <c r="L126" s="14"/>
      <c r="M126" s="14"/>
      <c r="N126" s="14"/>
      <c r="O126" s="14"/>
      <c r="P126" s="14"/>
      <c r="Q126" s="14"/>
      <c r="R126" s="16"/>
      <c r="S126" s="16"/>
      <c r="T126" s="16"/>
      <c r="U126" s="16"/>
      <c r="V126" s="16" t="str">
        <f t="shared" si="36"/>
        <v/>
      </c>
    </row>
    <row r="127" ht="15.75" customHeight="1">
      <c r="A127" s="14">
        <v>4.0</v>
      </c>
      <c r="B127" s="16"/>
      <c r="C127" s="20"/>
      <c r="D127" s="16"/>
      <c r="E127" s="16"/>
      <c r="F127" s="14"/>
      <c r="G127" s="14"/>
      <c r="H127" s="14"/>
      <c r="I127" s="14"/>
      <c r="J127" s="14"/>
      <c r="K127" s="14"/>
      <c r="L127" s="14"/>
      <c r="M127" s="14"/>
      <c r="N127" s="14"/>
      <c r="O127" s="14"/>
      <c r="P127" s="14"/>
      <c r="Q127" s="14"/>
      <c r="R127" s="16"/>
      <c r="S127" s="16"/>
      <c r="T127" s="16"/>
      <c r="U127" s="16"/>
      <c r="V127" s="16" t="str">
        <f t="shared" si="36"/>
        <v/>
      </c>
    </row>
    <row r="128" ht="15.75" customHeight="1">
      <c r="A128" s="14">
        <v>5.0</v>
      </c>
      <c r="B128" s="16"/>
      <c r="C128" s="20"/>
      <c r="D128" s="16"/>
      <c r="E128" s="16"/>
      <c r="F128" s="14"/>
      <c r="G128" s="14"/>
      <c r="H128" s="14"/>
      <c r="I128" s="14"/>
      <c r="J128" s="14"/>
      <c r="K128" s="14"/>
      <c r="L128" s="14"/>
      <c r="M128" s="14"/>
      <c r="N128" s="14"/>
      <c r="O128" s="14"/>
      <c r="P128" s="14"/>
      <c r="Q128" s="14"/>
      <c r="R128" s="16"/>
      <c r="S128" s="16"/>
      <c r="T128" s="16"/>
      <c r="U128" s="16"/>
      <c r="V128" s="16" t="str">
        <f t="shared" si="36"/>
        <v/>
      </c>
    </row>
    <row r="129" ht="15.75" customHeight="1">
      <c r="A129" s="12" t="s">
        <v>166</v>
      </c>
      <c r="B129" s="13" t="s">
        <v>167</v>
      </c>
      <c r="C129" s="12" t="str">
        <f>IF(COUNTA(B130:B134)=0,"",COUNTA(B130:B134)&amp;" người")</f>
        <v/>
      </c>
      <c r="D129" s="13"/>
      <c r="E129" s="13"/>
      <c r="F129" s="19">
        <f>COUNTIF(F130:F134,"Đáp ứng")</f>
        <v>0</v>
      </c>
      <c r="G129" s="19">
        <f t="shared" ref="G129:Q129" si="37">COUNTIF(G130:G134,"x")</f>
        <v>0</v>
      </c>
      <c r="H129" s="19">
        <f t="shared" si="37"/>
        <v>0</v>
      </c>
      <c r="I129" s="19">
        <f t="shared" si="37"/>
        <v>0</v>
      </c>
      <c r="J129" s="19">
        <f t="shared" si="37"/>
        <v>0</v>
      </c>
      <c r="K129" s="19">
        <f t="shared" si="37"/>
        <v>0</v>
      </c>
      <c r="L129" s="19">
        <f t="shared" si="37"/>
        <v>0</v>
      </c>
      <c r="M129" s="19">
        <f t="shared" si="37"/>
        <v>0</v>
      </c>
      <c r="N129" s="19">
        <f t="shared" si="37"/>
        <v>0</v>
      </c>
      <c r="O129" s="19">
        <f t="shared" si="37"/>
        <v>0</v>
      </c>
      <c r="P129" s="19">
        <f t="shared" si="37"/>
        <v>0</v>
      </c>
      <c r="Q129" s="19">
        <f t="shared" si="37"/>
        <v>0</v>
      </c>
      <c r="R129" s="13"/>
      <c r="S129" s="13"/>
      <c r="T129" s="13"/>
      <c r="U129" s="13"/>
      <c r="V129" s="13"/>
    </row>
    <row r="130" ht="15.75" customHeight="1">
      <c r="A130" s="14">
        <v>1.0</v>
      </c>
      <c r="B130" s="16"/>
      <c r="C130" s="20"/>
      <c r="D130" s="16"/>
      <c r="E130" s="16"/>
      <c r="F130" s="14"/>
      <c r="G130" s="14"/>
      <c r="H130" s="14"/>
      <c r="I130" s="14"/>
      <c r="J130" s="14"/>
      <c r="K130" s="14"/>
      <c r="L130" s="14"/>
      <c r="M130" s="14"/>
      <c r="N130" s="14"/>
      <c r="O130" s="14"/>
      <c r="P130" s="14"/>
      <c r="Q130" s="14"/>
      <c r="R130" s="16"/>
      <c r="S130" s="16"/>
      <c r="T130" s="16"/>
      <c r="U130" s="16"/>
      <c r="V130" s="16" t="str">
        <f t="shared" ref="V130:V134" si="38">IF(COUNTA(B130:U130)=0,"",IF(AND(OR(F130="Đáp ứng",F130="Không đáp ứng"),COUNTIF(G130:I130,"x")=1,COUNTIF(J130:M130,"x")=1,COUNTIF(N130:Q130,"x")=1),"OK","Lệch: kiểm tra (6)-(17)"))</f>
        <v/>
      </c>
    </row>
    <row r="131" ht="15.75" customHeight="1">
      <c r="A131" s="14">
        <v>2.0</v>
      </c>
      <c r="B131" s="16"/>
      <c r="C131" s="20"/>
      <c r="D131" s="16"/>
      <c r="E131" s="16"/>
      <c r="F131" s="14"/>
      <c r="G131" s="14"/>
      <c r="H131" s="14"/>
      <c r="I131" s="14"/>
      <c r="J131" s="14"/>
      <c r="K131" s="14"/>
      <c r="L131" s="14"/>
      <c r="M131" s="14"/>
      <c r="N131" s="14"/>
      <c r="O131" s="14"/>
      <c r="P131" s="14"/>
      <c r="Q131" s="14"/>
      <c r="R131" s="16"/>
      <c r="S131" s="16"/>
      <c r="T131" s="16"/>
      <c r="U131" s="16"/>
      <c r="V131" s="16" t="str">
        <f t="shared" si="38"/>
        <v/>
      </c>
    </row>
    <row r="132" ht="15.75" customHeight="1">
      <c r="A132" s="14">
        <v>3.0</v>
      </c>
      <c r="B132" s="16"/>
      <c r="C132" s="20"/>
      <c r="D132" s="16"/>
      <c r="E132" s="16"/>
      <c r="F132" s="14"/>
      <c r="G132" s="14"/>
      <c r="H132" s="14"/>
      <c r="I132" s="14"/>
      <c r="J132" s="14"/>
      <c r="K132" s="14"/>
      <c r="L132" s="14"/>
      <c r="M132" s="14"/>
      <c r="N132" s="14"/>
      <c r="O132" s="14"/>
      <c r="P132" s="14"/>
      <c r="Q132" s="14"/>
      <c r="R132" s="16"/>
      <c r="S132" s="16"/>
      <c r="T132" s="16"/>
      <c r="U132" s="16"/>
      <c r="V132" s="16" t="str">
        <f t="shared" si="38"/>
        <v/>
      </c>
    </row>
    <row r="133" ht="15.75" customHeight="1">
      <c r="A133" s="14">
        <v>4.0</v>
      </c>
      <c r="B133" s="16"/>
      <c r="C133" s="20"/>
      <c r="D133" s="16"/>
      <c r="E133" s="16"/>
      <c r="F133" s="14"/>
      <c r="G133" s="14"/>
      <c r="H133" s="14"/>
      <c r="I133" s="14"/>
      <c r="J133" s="14"/>
      <c r="K133" s="14"/>
      <c r="L133" s="14"/>
      <c r="M133" s="14"/>
      <c r="N133" s="14"/>
      <c r="O133" s="14"/>
      <c r="P133" s="14"/>
      <c r="Q133" s="14"/>
      <c r="R133" s="16"/>
      <c r="S133" s="16"/>
      <c r="T133" s="16"/>
      <c r="U133" s="16"/>
      <c r="V133" s="16" t="str">
        <f t="shared" si="38"/>
        <v/>
      </c>
    </row>
    <row r="134" ht="15.75" customHeight="1">
      <c r="A134" s="14">
        <v>5.0</v>
      </c>
      <c r="B134" s="16"/>
      <c r="C134" s="20"/>
      <c r="D134" s="16"/>
      <c r="E134" s="16"/>
      <c r="F134" s="14"/>
      <c r="G134" s="14"/>
      <c r="H134" s="14"/>
      <c r="I134" s="14"/>
      <c r="J134" s="14"/>
      <c r="K134" s="14"/>
      <c r="L134" s="14"/>
      <c r="M134" s="14"/>
      <c r="N134" s="14"/>
      <c r="O134" s="14"/>
      <c r="P134" s="14"/>
      <c r="Q134" s="14"/>
      <c r="R134" s="16"/>
      <c r="S134" s="16"/>
      <c r="T134" s="16"/>
      <c r="U134" s="16"/>
      <c r="V134" s="16" t="str">
        <f t="shared" si="38"/>
        <v/>
      </c>
    </row>
    <row r="135" ht="15.75" customHeight="1">
      <c r="A135" s="12" t="s">
        <v>168</v>
      </c>
      <c r="B135" s="13" t="s">
        <v>169</v>
      </c>
      <c r="C135" s="12" t="str">
        <f>IF(COUNTA(B136:B140)=0,"",COUNTA(B136:B140)&amp;" người")</f>
        <v/>
      </c>
      <c r="D135" s="13"/>
      <c r="E135" s="13"/>
      <c r="F135" s="19">
        <f>COUNTIF(F136:F140,"Đáp ứng")</f>
        <v>0</v>
      </c>
      <c r="G135" s="19">
        <f t="shared" ref="G135:Q135" si="39">COUNTIF(G136:G140,"x")</f>
        <v>0</v>
      </c>
      <c r="H135" s="19">
        <f t="shared" si="39"/>
        <v>0</v>
      </c>
      <c r="I135" s="19">
        <f t="shared" si="39"/>
        <v>0</v>
      </c>
      <c r="J135" s="19">
        <f t="shared" si="39"/>
        <v>0</v>
      </c>
      <c r="K135" s="19">
        <f t="shared" si="39"/>
        <v>0</v>
      </c>
      <c r="L135" s="19">
        <f t="shared" si="39"/>
        <v>0</v>
      </c>
      <c r="M135" s="19">
        <f t="shared" si="39"/>
        <v>0</v>
      </c>
      <c r="N135" s="19">
        <f t="shared" si="39"/>
        <v>0</v>
      </c>
      <c r="O135" s="19">
        <f t="shared" si="39"/>
        <v>0</v>
      </c>
      <c r="P135" s="19">
        <f t="shared" si="39"/>
        <v>0</v>
      </c>
      <c r="Q135" s="19">
        <f t="shared" si="39"/>
        <v>0</v>
      </c>
      <c r="R135" s="13"/>
      <c r="S135" s="13"/>
      <c r="T135" s="13"/>
      <c r="U135" s="13"/>
      <c r="V135" s="13"/>
    </row>
    <row r="136" ht="15.75" customHeight="1">
      <c r="A136" s="14">
        <v>1.0</v>
      </c>
      <c r="B136" s="16"/>
      <c r="C136" s="20"/>
      <c r="D136" s="16"/>
      <c r="E136" s="16"/>
      <c r="F136" s="14"/>
      <c r="G136" s="14"/>
      <c r="H136" s="14"/>
      <c r="I136" s="14"/>
      <c r="J136" s="14"/>
      <c r="K136" s="14"/>
      <c r="L136" s="14"/>
      <c r="M136" s="14"/>
      <c r="N136" s="14"/>
      <c r="O136" s="14"/>
      <c r="P136" s="14"/>
      <c r="Q136" s="14"/>
      <c r="R136" s="16"/>
      <c r="S136" s="16"/>
      <c r="T136" s="16"/>
      <c r="U136" s="16"/>
      <c r="V136" s="16" t="str">
        <f t="shared" ref="V136:V140" si="40">IF(COUNTA(B136:U136)=0,"",IF(AND(OR(F136="Đáp ứng",F136="Không đáp ứng"),COUNTIF(G136:I136,"x")=1,COUNTIF(J136:M136,"x")=1,COUNTIF(N136:Q136,"x")=1),"OK","Lệch: kiểm tra (6)-(17)"))</f>
        <v/>
      </c>
    </row>
    <row r="137" ht="15.75" customHeight="1">
      <c r="A137" s="14">
        <v>2.0</v>
      </c>
      <c r="B137" s="16"/>
      <c r="C137" s="20"/>
      <c r="D137" s="16"/>
      <c r="E137" s="16"/>
      <c r="F137" s="14"/>
      <c r="G137" s="14"/>
      <c r="H137" s="14"/>
      <c r="I137" s="14"/>
      <c r="J137" s="14"/>
      <c r="K137" s="14"/>
      <c r="L137" s="14"/>
      <c r="M137" s="14"/>
      <c r="N137" s="14"/>
      <c r="O137" s="14"/>
      <c r="P137" s="14"/>
      <c r="Q137" s="14"/>
      <c r="R137" s="16"/>
      <c r="S137" s="16"/>
      <c r="T137" s="16"/>
      <c r="U137" s="16"/>
      <c r="V137" s="16" t="str">
        <f t="shared" si="40"/>
        <v/>
      </c>
    </row>
    <row r="138" ht="15.75" customHeight="1">
      <c r="A138" s="14">
        <v>3.0</v>
      </c>
      <c r="B138" s="16"/>
      <c r="C138" s="20"/>
      <c r="D138" s="16"/>
      <c r="E138" s="16"/>
      <c r="F138" s="14"/>
      <c r="G138" s="14"/>
      <c r="H138" s="14"/>
      <c r="I138" s="14"/>
      <c r="J138" s="14"/>
      <c r="K138" s="14"/>
      <c r="L138" s="14"/>
      <c r="M138" s="14"/>
      <c r="N138" s="14"/>
      <c r="O138" s="14"/>
      <c r="P138" s="14"/>
      <c r="Q138" s="14"/>
      <c r="R138" s="16"/>
      <c r="S138" s="16"/>
      <c r="T138" s="16"/>
      <c r="U138" s="16"/>
      <c r="V138" s="16" t="str">
        <f t="shared" si="40"/>
        <v/>
      </c>
    </row>
    <row r="139" ht="15.75" customHeight="1">
      <c r="A139" s="14">
        <v>4.0</v>
      </c>
      <c r="B139" s="16"/>
      <c r="C139" s="20"/>
      <c r="D139" s="16"/>
      <c r="E139" s="16"/>
      <c r="F139" s="14"/>
      <c r="G139" s="14"/>
      <c r="H139" s="14"/>
      <c r="I139" s="14"/>
      <c r="J139" s="14"/>
      <c r="K139" s="14"/>
      <c r="L139" s="14"/>
      <c r="M139" s="14"/>
      <c r="N139" s="14"/>
      <c r="O139" s="14"/>
      <c r="P139" s="14"/>
      <c r="Q139" s="14"/>
      <c r="R139" s="16"/>
      <c r="S139" s="16"/>
      <c r="T139" s="16"/>
      <c r="U139" s="16"/>
      <c r="V139" s="16" t="str">
        <f t="shared" si="40"/>
        <v/>
      </c>
    </row>
    <row r="140" ht="15.75" customHeight="1">
      <c r="A140" s="14">
        <v>5.0</v>
      </c>
      <c r="B140" s="16"/>
      <c r="C140" s="20"/>
      <c r="D140" s="16"/>
      <c r="E140" s="16"/>
      <c r="F140" s="14"/>
      <c r="G140" s="14"/>
      <c r="H140" s="14"/>
      <c r="I140" s="14"/>
      <c r="J140" s="14"/>
      <c r="K140" s="14"/>
      <c r="L140" s="14"/>
      <c r="M140" s="14"/>
      <c r="N140" s="14"/>
      <c r="O140" s="14"/>
      <c r="P140" s="14"/>
      <c r="Q140" s="14"/>
      <c r="R140" s="16"/>
      <c r="S140" s="16"/>
      <c r="T140" s="16"/>
      <c r="U140" s="16"/>
      <c r="V140" s="16" t="str">
        <f t="shared" si="40"/>
        <v/>
      </c>
    </row>
    <row r="141" ht="15.75" customHeight="1"/>
    <row r="142" ht="15.0" customHeight="1">
      <c r="N142" s="3"/>
    </row>
    <row r="143" ht="15.0" customHeight="1">
      <c r="A143" s="1"/>
      <c r="N143" s="1"/>
    </row>
    <row r="144" ht="15.0" customHeight="1">
      <c r="A144" s="22"/>
      <c r="N144" s="22"/>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U1"/>
    <mergeCell ref="A2:U2"/>
    <mergeCell ref="A3:U3"/>
    <mergeCell ref="A4:U4"/>
    <mergeCell ref="A5:U5"/>
    <mergeCell ref="A6:U6"/>
    <mergeCell ref="A7:U7"/>
    <mergeCell ref="A8:U8"/>
    <mergeCell ref="A9:U9"/>
    <mergeCell ref="A10:U10"/>
    <mergeCell ref="A11:U11"/>
    <mergeCell ref="A12:U12"/>
    <mergeCell ref="A13:U13"/>
    <mergeCell ref="A14:U14"/>
    <mergeCell ref="F18:F19"/>
    <mergeCell ref="G18:I18"/>
    <mergeCell ref="A143:F143"/>
    <mergeCell ref="A144:F144"/>
    <mergeCell ref="J18:M18"/>
    <mergeCell ref="N18:Q18"/>
    <mergeCell ref="R18:R19"/>
    <mergeCell ref="S18:S19"/>
    <mergeCell ref="N142:U142"/>
    <mergeCell ref="N143:U143"/>
    <mergeCell ref="N144:U144"/>
    <mergeCell ref="T18:T19"/>
    <mergeCell ref="U18:U19"/>
    <mergeCell ref="V18:V19"/>
    <mergeCell ref="A15:U15"/>
    <mergeCell ref="A16:U16"/>
    <mergeCell ref="A18:A19"/>
    <mergeCell ref="B18:B19"/>
    <mergeCell ref="C18:C19"/>
    <mergeCell ref="D18:D19"/>
    <mergeCell ref="E18:E19"/>
  </mergeCells>
  <dataValidations>
    <dataValidation type="list" allowBlank="1" showInputMessage="1" showErrorMessage="1" prompt="Giá trị không hợp lệ - Chọn một giá trị trong danh sách." sqref="F22:F26 F28:F32 F34:F38 F40:F44 F46:F50 F52:F56 F58:F62 F64:F68 F70:F74 F76:F80 F82:F86 F88:F92 F94:F98 F100:F104 F106:F110 F112:F116 F118:F122 F124:F128 F130:F134 F136:F140">
      <formula1>"Đáp ứng,Không đáp ứng"</formula1>
    </dataValidation>
    <dataValidation type="list" allowBlank="1" showInputMessage="1" showErrorMessage="1" prompt="Ghi &quot;x&quot; vào 1 ô trong mỗi nhóm cột" sqref="G22:Q26 G28:Q32 G34:Q38 G40:Q44 G46:Q50 G52:Q56 G58:Q62 G64:Q68 G70:Q74 G76:Q80 G82:Q86 G88:Q92 G94:Q98 G100:Q104 G106:Q110 G112:Q116 G118:Q122 G124:Q128 G130:Q134 G136:Q140">
      <formula1>"x"</formula1>
    </dataValidation>
    <dataValidation type="list" allowBlank="1" showInputMessage="1" showErrorMessage="1" prompt="Mỗi người chỉ thống kê vào 1 lĩnh vực chính" sqref="E22:E26 E28:E32 E34:E38 E40:E44 E46:E50 E52:E56 E58:E62 E64:E68 E70:E74 E76:E80 E82:E86 E88:E92 E94:E98 E100:E104 E106:E110 E112:E116 E118:E122 E124:E128 E130:E134 E136:E140">
      <formula1>"Trí tuệ nhân tạo (AI),Bán dẫn,Dữ liệu,An ninh mạng,Công nghệ chiến lược khác"</formula1>
    </dataValidation>
  </dataValidations>
  <printOptions/>
  <pageMargins bottom="0.5" footer="0.0" header="0.0" left="0.4" right="0.4" top="0.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32.0"/>
    <col customWidth="1" min="3" max="3" width="24.0"/>
    <col customWidth="1" min="4" max="4" width="15.0"/>
    <col customWidth="1" min="5" max="6" width="8.0"/>
    <col customWidth="1" min="7" max="11" width="6.0"/>
    <col customWidth="1" min="12" max="14" width="8.0"/>
    <col customWidth="1" min="15" max="20" width="6.0"/>
    <col customWidth="1" min="21" max="21" width="26.0"/>
    <col customWidth="1" min="22" max="22" width="10.0"/>
    <col customWidth="1" min="23" max="23" width="12.0"/>
    <col customWidth="1" min="24" max="24" width="14.86"/>
    <col customWidth="1" min="25" max="25" width="8.71"/>
  </cols>
  <sheetData>
    <row r="1" ht="15.0" customHeight="1">
      <c r="A1" s="1" t="s">
        <v>1</v>
      </c>
    </row>
    <row r="2" ht="36.0" customHeight="1">
      <c r="A2" s="2" t="s">
        <v>8</v>
      </c>
    </row>
    <row r="3" ht="15.0" customHeight="1">
      <c r="A3" s="3" t="s">
        <v>5</v>
      </c>
    </row>
    <row r="4" ht="15.0" customHeight="1">
      <c r="A4" s="4" t="s">
        <v>9</v>
      </c>
    </row>
    <row r="5">
      <c r="A5" s="5"/>
    </row>
    <row r="6">
      <c r="A6" s="6" t="s">
        <v>10</v>
      </c>
    </row>
    <row r="7" ht="15.0" customHeight="1">
      <c r="A7" s="1" t="s">
        <v>15</v>
      </c>
    </row>
    <row r="8">
      <c r="A8" s="7" t="s">
        <v>11</v>
      </c>
    </row>
    <row r="9" ht="48.0" customHeight="1">
      <c r="A9" s="8" t="s">
        <v>21</v>
      </c>
    </row>
    <row r="10" ht="48.0" customHeight="1">
      <c r="A10" s="8" t="s">
        <v>25</v>
      </c>
    </row>
    <row r="11" ht="33.0" customHeight="1">
      <c r="A11" s="8" t="s">
        <v>29</v>
      </c>
    </row>
    <row r="12" ht="18.0" customHeight="1">
      <c r="A12" s="8" t="s">
        <v>32</v>
      </c>
    </row>
    <row r="13" ht="33.0" customHeight="1">
      <c r="A13" s="8" t="s">
        <v>34</v>
      </c>
    </row>
    <row r="14" ht="33.0" customHeight="1">
      <c r="A14" s="8" t="s">
        <v>37</v>
      </c>
    </row>
    <row r="15" ht="33.0" customHeight="1">
      <c r="A15" s="8" t="s">
        <v>43</v>
      </c>
    </row>
    <row r="16" ht="18.0" customHeight="1">
      <c r="A16" s="8" t="s">
        <v>46</v>
      </c>
    </row>
    <row r="17" ht="33.0" customHeight="1">
      <c r="A17" s="8" t="s">
        <v>52</v>
      </c>
    </row>
    <row r="18" ht="33.0" customHeight="1">
      <c r="A18" s="8" t="s">
        <v>55</v>
      </c>
    </row>
    <row r="20" ht="60.0" customHeight="1">
      <c r="A20" s="9" t="s">
        <v>22</v>
      </c>
      <c r="B20" s="9" t="s">
        <v>60</v>
      </c>
      <c r="C20" s="9" t="s">
        <v>69</v>
      </c>
      <c r="D20" s="9" t="s">
        <v>44</v>
      </c>
      <c r="E20" s="9" t="s">
        <v>78</v>
      </c>
      <c r="F20" s="9" t="s">
        <v>80</v>
      </c>
      <c r="G20" s="15" t="s">
        <v>82</v>
      </c>
      <c r="H20" s="17"/>
      <c r="I20" s="17"/>
      <c r="J20" s="17"/>
      <c r="K20" s="18"/>
      <c r="L20" s="15" t="s">
        <v>84</v>
      </c>
      <c r="M20" s="17"/>
      <c r="N20" s="18"/>
      <c r="O20" s="15" t="s">
        <v>89</v>
      </c>
      <c r="P20" s="17"/>
      <c r="Q20" s="18"/>
      <c r="R20" s="15" t="s">
        <v>91</v>
      </c>
      <c r="S20" s="17"/>
      <c r="T20" s="18"/>
      <c r="U20" s="9" t="s">
        <v>93</v>
      </c>
      <c r="V20" s="9" t="s">
        <v>95</v>
      </c>
      <c r="W20" s="9" t="s">
        <v>48</v>
      </c>
      <c r="X20" s="9" t="s">
        <v>50</v>
      </c>
    </row>
    <row r="21" ht="109.5" customHeight="1">
      <c r="A21" s="10"/>
      <c r="B21" s="10"/>
      <c r="C21" s="10"/>
      <c r="D21" s="10"/>
      <c r="E21" s="10"/>
      <c r="F21" s="10"/>
      <c r="G21" s="12" t="s">
        <v>102</v>
      </c>
      <c r="H21" s="12" t="s">
        <v>104</v>
      </c>
      <c r="I21" s="12" t="s">
        <v>106</v>
      </c>
      <c r="J21" s="12" t="s">
        <v>109</v>
      </c>
      <c r="K21" s="12" t="s">
        <v>111</v>
      </c>
      <c r="L21" s="12" t="s">
        <v>113</v>
      </c>
      <c r="M21" s="12" t="s">
        <v>115</v>
      </c>
      <c r="N21" s="12" t="s">
        <v>116</v>
      </c>
      <c r="O21" s="12" t="s">
        <v>117</v>
      </c>
      <c r="P21" s="12" t="s">
        <v>118</v>
      </c>
      <c r="Q21" s="12" t="s">
        <v>119</v>
      </c>
      <c r="R21" s="12" t="s">
        <v>120</v>
      </c>
      <c r="S21" s="12" t="s">
        <v>121</v>
      </c>
      <c r="T21" s="12" t="s">
        <v>122</v>
      </c>
      <c r="U21" s="10"/>
      <c r="V21" s="10"/>
      <c r="W21" s="10"/>
      <c r="X21" s="10"/>
    </row>
    <row r="22" ht="15.75" customHeight="1">
      <c r="A22" s="11" t="s">
        <v>58</v>
      </c>
      <c r="B22" s="11" t="s">
        <v>61</v>
      </c>
      <c r="C22" s="11" t="s">
        <v>62</v>
      </c>
      <c r="D22" s="11" t="s">
        <v>63</v>
      </c>
      <c r="E22" s="11" t="s">
        <v>66</v>
      </c>
      <c r="F22" s="11" t="s">
        <v>67</v>
      </c>
      <c r="G22" s="11" t="s">
        <v>68</v>
      </c>
      <c r="H22" s="11" t="s">
        <v>70</v>
      </c>
      <c r="I22" s="11" t="s">
        <v>71</v>
      </c>
      <c r="J22" s="11" t="s">
        <v>85</v>
      </c>
      <c r="K22" s="11" t="s">
        <v>86</v>
      </c>
      <c r="L22" s="11" t="s">
        <v>87</v>
      </c>
      <c r="M22" s="11" t="s">
        <v>123</v>
      </c>
      <c r="N22" s="11" t="s">
        <v>124</v>
      </c>
      <c r="O22" s="11" t="s">
        <v>125</v>
      </c>
      <c r="P22" s="11" t="s">
        <v>126</v>
      </c>
      <c r="Q22" s="11" t="s">
        <v>128</v>
      </c>
      <c r="R22" s="11" t="s">
        <v>130</v>
      </c>
      <c r="S22" s="11" t="s">
        <v>131</v>
      </c>
      <c r="T22" s="11" t="s">
        <v>132</v>
      </c>
      <c r="U22" s="11" t="s">
        <v>133</v>
      </c>
      <c r="V22" s="11" t="s">
        <v>134</v>
      </c>
      <c r="W22" s="11" t="s">
        <v>135</v>
      </c>
      <c r="X22" s="11"/>
    </row>
    <row r="23" ht="15.75" customHeight="1">
      <c r="A23" s="12" t="s">
        <v>73</v>
      </c>
      <c r="B23" s="13" t="s">
        <v>76</v>
      </c>
      <c r="C23" s="13"/>
      <c r="D23" s="13"/>
      <c r="E23" s="19">
        <f t="shared" ref="E23:K23" si="1">SUM(E24:E28)</f>
        <v>0</v>
      </c>
      <c r="F23" s="19">
        <f t="shared" si="1"/>
        <v>0</v>
      </c>
      <c r="G23" s="19">
        <f t="shared" si="1"/>
        <v>0</v>
      </c>
      <c r="H23" s="19">
        <f t="shared" si="1"/>
        <v>0</v>
      </c>
      <c r="I23" s="19">
        <f t="shared" si="1"/>
        <v>0</v>
      </c>
      <c r="J23" s="19">
        <f t="shared" si="1"/>
        <v>0</v>
      </c>
      <c r="K23" s="19">
        <f t="shared" si="1"/>
        <v>0</v>
      </c>
      <c r="L23" s="19">
        <f>SUMIF(L24:L28,"x",F24:F28)</f>
        <v>0</v>
      </c>
      <c r="M23" s="19">
        <f>SUMIF(M24:M28,"x",F24:F28)</f>
        <v>0</v>
      </c>
      <c r="N23" s="19">
        <f>SUMIF(N24:N28,"x",F24:F28)</f>
        <v>0</v>
      </c>
      <c r="O23" s="19">
        <f>SUMIF(O24:O28,"x",F24:F28)</f>
        <v>0</v>
      </c>
      <c r="P23" s="19">
        <f>SUMIF(P24:P28,"x",F24:F28)</f>
        <v>0</v>
      </c>
      <c r="Q23" s="19">
        <f>SUMIF(Q24:Q28,"x",F24:F28)</f>
        <v>0</v>
      </c>
      <c r="R23" s="19">
        <f>SUMIF(R24:R28,"x",F24:F28)</f>
        <v>0</v>
      </c>
      <c r="S23" s="19">
        <f>SUMIF(S24:S28,"x",F24:F28)</f>
        <v>0</v>
      </c>
      <c r="T23" s="19">
        <f>SUMIF(T24:T28,"x",F24:F28)</f>
        <v>0</v>
      </c>
      <c r="U23" s="13"/>
      <c r="V23" s="13"/>
      <c r="W23" s="13"/>
      <c r="X23" s="13"/>
    </row>
    <row r="24" ht="15.75" customHeight="1">
      <c r="A24" s="14">
        <v>1.0</v>
      </c>
      <c r="B24" s="16"/>
      <c r="C24" s="16"/>
      <c r="D24" s="16"/>
      <c r="E24" s="21"/>
      <c r="F24" s="21"/>
      <c r="G24" s="21"/>
      <c r="H24" s="21"/>
      <c r="I24" s="21"/>
      <c r="J24" s="21"/>
      <c r="K24" s="21"/>
      <c r="L24" s="14"/>
      <c r="M24" s="14"/>
      <c r="N24" s="14"/>
      <c r="O24" s="14"/>
      <c r="P24" s="14"/>
      <c r="Q24" s="14"/>
      <c r="R24" s="14"/>
      <c r="S24" s="14"/>
      <c r="T24" s="14"/>
      <c r="U24" s="16"/>
      <c r="V24" s="16"/>
      <c r="W24" s="16"/>
      <c r="X24" s="16" t="str">
        <f t="shared" ref="X24:X28" si="2">IF(COUNTA(B24:W24)=0,"",IF(AND(SUM(G24:K24)=F24,COUNTIF(L24:N24,"x")=1,COUNTIF(O24:Q24,"x")=1,COUNTIF(R24:T24,"x")=1),"OK","Lệch: kiểm tra (6)-(20)"))</f>
        <v/>
      </c>
    </row>
    <row r="25" ht="15.75" customHeight="1">
      <c r="A25" s="14">
        <v>2.0</v>
      </c>
      <c r="B25" s="16"/>
      <c r="C25" s="16"/>
      <c r="D25" s="16"/>
      <c r="E25" s="21"/>
      <c r="F25" s="21"/>
      <c r="G25" s="21"/>
      <c r="H25" s="21"/>
      <c r="I25" s="21"/>
      <c r="J25" s="21"/>
      <c r="K25" s="21"/>
      <c r="L25" s="14"/>
      <c r="M25" s="14"/>
      <c r="N25" s="14"/>
      <c r="O25" s="14"/>
      <c r="P25" s="14"/>
      <c r="Q25" s="14"/>
      <c r="R25" s="14"/>
      <c r="S25" s="14"/>
      <c r="T25" s="14"/>
      <c r="U25" s="16"/>
      <c r="V25" s="16"/>
      <c r="W25" s="16"/>
      <c r="X25" s="16" t="str">
        <f t="shared" si="2"/>
        <v/>
      </c>
    </row>
    <row r="26" ht="15.75" customHeight="1">
      <c r="A26" s="14">
        <v>3.0</v>
      </c>
      <c r="B26" s="16"/>
      <c r="C26" s="16"/>
      <c r="D26" s="16"/>
      <c r="E26" s="21"/>
      <c r="F26" s="21"/>
      <c r="G26" s="21"/>
      <c r="H26" s="21"/>
      <c r="I26" s="21"/>
      <c r="J26" s="21"/>
      <c r="K26" s="21"/>
      <c r="L26" s="14"/>
      <c r="M26" s="14"/>
      <c r="N26" s="14"/>
      <c r="O26" s="14"/>
      <c r="P26" s="14"/>
      <c r="Q26" s="14"/>
      <c r="R26" s="14"/>
      <c r="S26" s="14"/>
      <c r="T26" s="14"/>
      <c r="U26" s="16"/>
      <c r="V26" s="16"/>
      <c r="W26" s="16"/>
      <c r="X26" s="16" t="str">
        <f t="shared" si="2"/>
        <v/>
      </c>
    </row>
    <row r="27" ht="15.75" customHeight="1">
      <c r="A27" s="14">
        <v>4.0</v>
      </c>
      <c r="B27" s="16"/>
      <c r="C27" s="16"/>
      <c r="D27" s="16"/>
      <c r="E27" s="21"/>
      <c r="F27" s="21"/>
      <c r="G27" s="21"/>
      <c r="H27" s="21"/>
      <c r="I27" s="21"/>
      <c r="J27" s="21"/>
      <c r="K27" s="21"/>
      <c r="L27" s="14"/>
      <c r="M27" s="14"/>
      <c r="N27" s="14"/>
      <c r="O27" s="14"/>
      <c r="P27" s="14"/>
      <c r="Q27" s="14"/>
      <c r="R27" s="14"/>
      <c r="S27" s="14"/>
      <c r="T27" s="14"/>
      <c r="U27" s="16"/>
      <c r="V27" s="16"/>
      <c r="W27" s="16"/>
      <c r="X27" s="16" t="str">
        <f t="shared" si="2"/>
        <v/>
      </c>
    </row>
    <row r="28" ht="15.75" customHeight="1">
      <c r="A28" s="14">
        <v>5.0</v>
      </c>
      <c r="B28" s="16"/>
      <c r="C28" s="16"/>
      <c r="D28" s="16"/>
      <c r="E28" s="21"/>
      <c r="F28" s="21"/>
      <c r="G28" s="21"/>
      <c r="H28" s="21"/>
      <c r="I28" s="21"/>
      <c r="J28" s="21"/>
      <c r="K28" s="21"/>
      <c r="L28" s="14"/>
      <c r="M28" s="14"/>
      <c r="N28" s="14"/>
      <c r="O28" s="14"/>
      <c r="P28" s="14"/>
      <c r="Q28" s="14"/>
      <c r="R28" s="14"/>
      <c r="S28" s="14"/>
      <c r="T28" s="14"/>
      <c r="U28" s="16"/>
      <c r="V28" s="16"/>
      <c r="W28" s="16"/>
      <c r="X28" s="16" t="str">
        <f t="shared" si="2"/>
        <v/>
      </c>
    </row>
    <row r="29" ht="15.75" customHeight="1">
      <c r="A29" s="12" t="s">
        <v>96</v>
      </c>
      <c r="B29" s="13" t="s">
        <v>97</v>
      </c>
      <c r="C29" s="13"/>
      <c r="D29" s="13"/>
      <c r="E29" s="19">
        <f t="shared" ref="E29:K29" si="3">SUM(E30:E34)</f>
        <v>0</v>
      </c>
      <c r="F29" s="19">
        <f t="shared" si="3"/>
        <v>0</v>
      </c>
      <c r="G29" s="19">
        <f t="shared" si="3"/>
        <v>0</v>
      </c>
      <c r="H29" s="19">
        <f t="shared" si="3"/>
        <v>0</v>
      </c>
      <c r="I29" s="19">
        <f t="shared" si="3"/>
        <v>0</v>
      </c>
      <c r="J29" s="19">
        <f t="shared" si="3"/>
        <v>0</v>
      </c>
      <c r="K29" s="19">
        <f t="shared" si="3"/>
        <v>0</v>
      </c>
      <c r="L29" s="19">
        <f>SUMIF(L30:L34,"x",F30:F34)</f>
        <v>0</v>
      </c>
      <c r="M29" s="19">
        <f>SUMIF(M30:M34,"x",F30:F34)</f>
        <v>0</v>
      </c>
      <c r="N29" s="19">
        <f>SUMIF(N30:N34,"x",F30:F34)</f>
        <v>0</v>
      </c>
      <c r="O29" s="19">
        <f>SUMIF(O30:O34,"x",F30:F34)</f>
        <v>0</v>
      </c>
      <c r="P29" s="19">
        <f>SUMIF(P30:P34,"x",F30:F34)</f>
        <v>0</v>
      </c>
      <c r="Q29" s="19">
        <f>SUMIF(Q30:Q34,"x",F30:F34)</f>
        <v>0</v>
      </c>
      <c r="R29" s="19">
        <f>SUMIF(R30:R34,"x",F30:F34)</f>
        <v>0</v>
      </c>
      <c r="S29" s="19">
        <f>SUMIF(S30:S34,"x",F30:F34)</f>
        <v>0</v>
      </c>
      <c r="T29" s="19">
        <f>SUMIF(T30:T34,"x",F30:F34)</f>
        <v>0</v>
      </c>
      <c r="U29" s="13"/>
      <c r="V29" s="13"/>
      <c r="W29" s="13"/>
      <c r="X29" s="13"/>
    </row>
    <row r="30" ht="15.75" customHeight="1">
      <c r="A30" s="14">
        <v>1.0</v>
      </c>
      <c r="B30" s="16"/>
      <c r="C30" s="16"/>
      <c r="D30" s="16"/>
      <c r="E30" s="21"/>
      <c r="F30" s="21"/>
      <c r="G30" s="21"/>
      <c r="H30" s="21"/>
      <c r="I30" s="21"/>
      <c r="J30" s="21"/>
      <c r="K30" s="21"/>
      <c r="L30" s="14"/>
      <c r="M30" s="14"/>
      <c r="N30" s="14"/>
      <c r="O30" s="14"/>
      <c r="P30" s="14"/>
      <c r="Q30" s="14"/>
      <c r="R30" s="14"/>
      <c r="S30" s="14"/>
      <c r="T30" s="14"/>
      <c r="U30" s="16"/>
      <c r="V30" s="16"/>
      <c r="W30" s="16"/>
      <c r="X30" s="16" t="str">
        <f t="shared" ref="X30:X34" si="4">IF(COUNTA(B30:W30)=0,"",IF(AND(SUM(G30:K30)=F30,COUNTIF(L30:N30,"x")=1,COUNTIF(O30:Q30,"x")=1,COUNTIF(R30:T30,"x")=1),"OK","Lệch: kiểm tra (6)-(20)"))</f>
        <v/>
      </c>
    </row>
    <row r="31" ht="15.75" customHeight="1">
      <c r="A31" s="14">
        <v>2.0</v>
      </c>
      <c r="B31" s="16"/>
      <c r="C31" s="16"/>
      <c r="D31" s="16"/>
      <c r="E31" s="21"/>
      <c r="F31" s="21"/>
      <c r="G31" s="21"/>
      <c r="H31" s="21"/>
      <c r="I31" s="21"/>
      <c r="J31" s="21"/>
      <c r="K31" s="21"/>
      <c r="L31" s="14"/>
      <c r="M31" s="14"/>
      <c r="N31" s="14"/>
      <c r="O31" s="14"/>
      <c r="P31" s="14"/>
      <c r="Q31" s="14"/>
      <c r="R31" s="14"/>
      <c r="S31" s="14"/>
      <c r="T31" s="14"/>
      <c r="U31" s="16"/>
      <c r="V31" s="16"/>
      <c r="W31" s="16"/>
      <c r="X31" s="16" t="str">
        <f t="shared" si="4"/>
        <v/>
      </c>
    </row>
    <row r="32" ht="15.75" customHeight="1">
      <c r="A32" s="14">
        <v>3.0</v>
      </c>
      <c r="B32" s="16"/>
      <c r="C32" s="16"/>
      <c r="D32" s="16"/>
      <c r="E32" s="21"/>
      <c r="F32" s="21"/>
      <c r="G32" s="21"/>
      <c r="H32" s="21"/>
      <c r="I32" s="21"/>
      <c r="J32" s="21"/>
      <c r="K32" s="21"/>
      <c r="L32" s="14"/>
      <c r="M32" s="14"/>
      <c r="N32" s="14"/>
      <c r="O32" s="14"/>
      <c r="P32" s="14"/>
      <c r="Q32" s="14"/>
      <c r="R32" s="14"/>
      <c r="S32" s="14"/>
      <c r="T32" s="14"/>
      <c r="U32" s="16"/>
      <c r="V32" s="16"/>
      <c r="W32" s="16"/>
      <c r="X32" s="16" t="str">
        <f t="shared" si="4"/>
        <v/>
      </c>
    </row>
    <row r="33" ht="15.75" customHeight="1">
      <c r="A33" s="14">
        <v>4.0</v>
      </c>
      <c r="B33" s="16"/>
      <c r="C33" s="16"/>
      <c r="D33" s="16"/>
      <c r="E33" s="21"/>
      <c r="F33" s="21"/>
      <c r="G33" s="21"/>
      <c r="H33" s="21"/>
      <c r="I33" s="21"/>
      <c r="J33" s="21"/>
      <c r="K33" s="21"/>
      <c r="L33" s="14"/>
      <c r="M33" s="14"/>
      <c r="N33" s="14"/>
      <c r="O33" s="14"/>
      <c r="P33" s="14"/>
      <c r="Q33" s="14"/>
      <c r="R33" s="14"/>
      <c r="S33" s="14"/>
      <c r="T33" s="14"/>
      <c r="U33" s="16"/>
      <c r="V33" s="16"/>
      <c r="W33" s="16"/>
      <c r="X33" s="16" t="str">
        <f t="shared" si="4"/>
        <v/>
      </c>
    </row>
    <row r="34" ht="15.75" customHeight="1">
      <c r="A34" s="14">
        <v>5.0</v>
      </c>
      <c r="B34" s="16"/>
      <c r="C34" s="16"/>
      <c r="D34" s="16"/>
      <c r="E34" s="21"/>
      <c r="F34" s="21"/>
      <c r="G34" s="21"/>
      <c r="H34" s="21"/>
      <c r="I34" s="21"/>
      <c r="J34" s="21"/>
      <c r="K34" s="21"/>
      <c r="L34" s="14"/>
      <c r="M34" s="14"/>
      <c r="N34" s="14"/>
      <c r="O34" s="14"/>
      <c r="P34" s="14"/>
      <c r="Q34" s="14"/>
      <c r="R34" s="14"/>
      <c r="S34" s="14"/>
      <c r="T34" s="14"/>
      <c r="U34" s="16"/>
      <c r="V34" s="16"/>
      <c r="W34" s="16"/>
      <c r="X34" s="16" t="str">
        <f t="shared" si="4"/>
        <v/>
      </c>
    </row>
    <row r="35" ht="15.75" customHeight="1">
      <c r="A35" s="12" t="s">
        <v>127</v>
      </c>
      <c r="B35" s="13" t="s">
        <v>129</v>
      </c>
      <c r="C35" s="13"/>
      <c r="D35" s="13"/>
      <c r="E35" s="19">
        <f t="shared" ref="E35:K35" si="5">SUM(E36:E40)</f>
        <v>0</v>
      </c>
      <c r="F35" s="19">
        <f t="shared" si="5"/>
        <v>0</v>
      </c>
      <c r="G35" s="19">
        <f t="shared" si="5"/>
        <v>0</v>
      </c>
      <c r="H35" s="19">
        <f t="shared" si="5"/>
        <v>0</v>
      </c>
      <c r="I35" s="19">
        <f t="shared" si="5"/>
        <v>0</v>
      </c>
      <c r="J35" s="19">
        <f t="shared" si="5"/>
        <v>0</v>
      </c>
      <c r="K35" s="19">
        <f t="shared" si="5"/>
        <v>0</v>
      </c>
      <c r="L35" s="19">
        <f>SUMIF(L36:L40,"x",F36:F40)</f>
        <v>0</v>
      </c>
      <c r="M35" s="19">
        <f>SUMIF(M36:M40,"x",F36:F40)</f>
        <v>0</v>
      </c>
      <c r="N35" s="19">
        <f>SUMIF(N36:N40,"x",F36:F40)</f>
        <v>0</v>
      </c>
      <c r="O35" s="19">
        <f>SUMIF(O36:O40,"x",F36:F40)</f>
        <v>0</v>
      </c>
      <c r="P35" s="19">
        <f>SUMIF(P36:P40,"x",F36:F40)</f>
        <v>0</v>
      </c>
      <c r="Q35" s="19">
        <f>SUMIF(Q36:Q40,"x",F36:F40)</f>
        <v>0</v>
      </c>
      <c r="R35" s="19">
        <f>SUMIF(R36:R40,"x",F36:F40)</f>
        <v>0</v>
      </c>
      <c r="S35" s="19">
        <f>SUMIF(S36:S40,"x",F36:F40)</f>
        <v>0</v>
      </c>
      <c r="T35" s="19">
        <f>SUMIF(T36:T40,"x",F36:F40)</f>
        <v>0</v>
      </c>
      <c r="U35" s="13"/>
      <c r="V35" s="13"/>
      <c r="W35" s="13"/>
      <c r="X35" s="13"/>
    </row>
    <row r="36" ht="15.75" customHeight="1">
      <c r="A36" s="14">
        <v>1.0</v>
      </c>
      <c r="B36" s="16"/>
      <c r="C36" s="16"/>
      <c r="D36" s="16"/>
      <c r="E36" s="21"/>
      <c r="F36" s="21"/>
      <c r="G36" s="21"/>
      <c r="H36" s="21"/>
      <c r="I36" s="21"/>
      <c r="J36" s="21"/>
      <c r="K36" s="21"/>
      <c r="L36" s="14"/>
      <c r="M36" s="14"/>
      <c r="N36" s="14"/>
      <c r="O36" s="14"/>
      <c r="P36" s="14"/>
      <c r="Q36" s="14"/>
      <c r="R36" s="14"/>
      <c r="S36" s="14"/>
      <c r="T36" s="14"/>
      <c r="U36" s="16"/>
      <c r="V36" s="16"/>
      <c r="W36" s="16"/>
      <c r="X36" s="16" t="str">
        <f t="shared" ref="X36:X40" si="6">IF(COUNTA(B36:W36)=0,"",IF(AND(SUM(G36:K36)=F36,COUNTIF(L36:N36,"x")=1,COUNTIF(O36:Q36,"x")=1,COUNTIF(R36:T36,"x")=1),"OK","Lệch: kiểm tra (6)-(20)"))</f>
        <v/>
      </c>
    </row>
    <row r="37" ht="15.75" customHeight="1">
      <c r="A37" s="14">
        <v>2.0</v>
      </c>
      <c r="B37" s="16"/>
      <c r="C37" s="16"/>
      <c r="D37" s="16"/>
      <c r="E37" s="21"/>
      <c r="F37" s="21"/>
      <c r="G37" s="21"/>
      <c r="H37" s="21"/>
      <c r="I37" s="21"/>
      <c r="J37" s="21"/>
      <c r="K37" s="21"/>
      <c r="L37" s="14"/>
      <c r="M37" s="14"/>
      <c r="N37" s="14"/>
      <c r="O37" s="14"/>
      <c r="P37" s="14"/>
      <c r="Q37" s="14"/>
      <c r="R37" s="14"/>
      <c r="S37" s="14"/>
      <c r="T37" s="14"/>
      <c r="U37" s="16"/>
      <c r="V37" s="16"/>
      <c r="W37" s="16"/>
      <c r="X37" s="16" t="str">
        <f t="shared" si="6"/>
        <v/>
      </c>
    </row>
    <row r="38" ht="15.75" customHeight="1">
      <c r="A38" s="14">
        <v>3.0</v>
      </c>
      <c r="B38" s="16"/>
      <c r="C38" s="16"/>
      <c r="D38" s="16"/>
      <c r="E38" s="21"/>
      <c r="F38" s="21"/>
      <c r="G38" s="21"/>
      <c r="H38" s="21"/>
      <c r="I38" s="21"/>
      <c r="J38" s="21"/>
      <c r="K38" s="21"/>
      <c r="L38" s="14"/>
      <c r="M38" s="14"/>
      <c r="N38" s="14"/>
      <c r="O38" s="14"/>
      <c r="P38" s="14"/>
      <c r="Q38" s="14"/>
      <c r="R38" s="14"/>
      <c r="S38" s="14"/>
      <c r="T38" s="14"/>
      <c r="U38" s="16"/>
      <c r="V38" s="16"/>
      <c r="W38" s="16"/>
      <c r="X38" s="16" t="str">
        <f t="shared" si="6"/>
        <v/>
      </c>
    </row>
    <row r="39" ht="15.75" customHeight="1">
      <c r="A39" s="14">
        <v>4.0</v>
      </c>
      <c r="B39" s="16"/>
      <c r="C39" s="16"/>
      <c r="D39" s="16"/>
      <c r="E39" s="21"/>
      <c r="F39" s="21"/>
      <c r="G39" s="21"/>
      <c r="H39" s="21"/>
      <c r="I39" s="21"/>
      <c r="J39" s="21"/>
      <c r="K39" s="21"/>
      <c r="L39" s="14"/>
      <c r="M39" s="14"/>
      <c r="N39" s="14"/>
      <c r="O39" s="14"/>
      <c r="P39" s="14"/>
      <c r="Q39" s="14"/>
      <c r="R39" s="14"/>
      <c r="S39" s="14"/>
      <c r="T39" s="14"/>
      <c r="U39" s="16"/>
      <c r="V39" s="16"/>
      <c r="W39" s="16"/>
      <c r="X39" s="16" t="str">
        <f t="shared" si="6"/>
        <v/>
      </c>
    </row>
    <row r="40" ht="15.75" customHeight="1">
      <c r="A40" s="14">
        <v>5.0</v>
      </c>
      <c r="B40" s="16"/>
      <c r="C40" s="16"/>
      <c r="D40" s="16"/>
      <c r="E40" s="21"/>
      <c r="F40" s="21"/>
      <c r="G40" s="21"/>
      <c r="H40" s="21"/>
      <c r="I40" s="21"/>
      <c r="J40" s="21"/>
      <c r="K40" s="21"/>
      <c r="L40" s="14"/>
      <c r="M40" s="14"/>
      <c r="N40" s="14"/>
      <c r="O40" s="14"/>
      <c r="P40" s="14"/>
      <c r="Q40" s="14"/>
      <c r="R40" s="14"/>
      <c r="S40" s="14"/>
      <c r="T40" s="14"/>
      <c r="U40" s="16"/>
      <c r="V40" s="16"/>
      <c r="W40" s="16"/>
      <c r="X40" s="16" t="str">
        <f t="shared" si="6"/>
        <v/>
      </c>
    </row>
    <row r="41" ht="15.75" customHeight="1">
      <c r="A41" s="12" t="s">
        <v>136</v>
      </c>
      <c r="B41" s="13" t="s">
        <v>137</v>
      </c>
      <c r="C41" s="13"/>
      <c r="D41" s="13"/>
      <c r="E41" s="19">
        <f t="shared" ref="E41:K41" si="7">SUM(E42:E46)</f>
        <v>0</v>
      </c>
      <c r="F41" s="19">
        <f t="shared" si="7"/>
        <v>0</v>
      </c>
      <c r="G41" s="19">
        <f t="shared" si="7"/>
        <v>0</v>
      </c>
      <c r="H41" s="19">
        <f t="shared" si="7"/>
        <v>0</v>
      </c>
      <c r="I41" s="19">
        <f t="shared" si="7"/>
        <v>0</v>
      </c>
      <c r="J41" s="19">
        <f t="shared" si="7"/>
        <v>0</v>
      </c>
      <c r="K41" s="19">
        <f t="shared" si="7"/>
        <v>0</v>
      </c>
      <c r="L41" s="19">
        <f>SUMIF(L42:L46,"x",F42:F46)</f>
        <v>0</v>
      </c>
      <c r="M41" s="19">
        <f>SUMIF(M42:M46,"x",F42:F46)</f>
        <v>0</v>
      </c>
      <c r="N41" s="19">
        <f>SUMIF(N42:N46,"x",F42:F46)</f>
        <v>0</v>
      </c>
      <c r="O41" s="19">
        <f>SUMIF(O42:O46,"x",F42:F46)</f>
        <v>0</v>
      </c>
      <c r="P41" s="19">
        <f>SUMIF(P42:P46,"x",F42:F46)</f>
        <v>0</v>
      </c>
      <c r="Q41" s="19">
        <f>SUMIF(Q42:Q46,"x",F42:F46)</f>
        <v>0</v>
      </c>
      <c r="R41" s="19">
        <f>SUMIF(R42:R46,"x",F42:F46)</f>
        <v>0</v>
      </c>
      <c r="S41" s="19">
        <f>SUMIF(S42:S46,"x",F42:F46)</f>
        <v>0</v>
      </c>
      <c r="T41" s="19">
        <f>SUMIF(T42:T46,"x",F42:F46)</f>
        <v>0</v>
      </c>
      <c r="U41" s="13"/>
      <c r="V41" s="13"/>
      <c r="W41" s="13"/>
      <c r="X41" s="13"/>
    </row>
    <row r="42" ht="15.75" customHeight="1">
      <c r="A42" s="14">
        <v>1.0</v>
      </c>
      <c r="B42" s="16"/>
      <c r="C42" s="16"/>
      <c r="D42" s="16"/>
      <c r="E42" s="21"/>
      <c r="F42" s="21"/>
      <c r="G42" s="21"/>
      <c r="H42" s="21"/>
      <c r="I42" s="21"/>
      <c r="J42" s="21"/>
      <c r="K42" s="21"/>
      <c r="L42" s="14"/>
      <c r="M42" s="14"/>
      <c r="N42" s="14"/>
      <c r="O42" s="14"/>
      <c r="P42" s="14"/>
      <c r="Q42" s="14"/>
      <c r="R42" s="14"/>
      <c r="S42" s="14"/>
      <c r="T42" s="14"/>
      <c r="U42" s="16"/>
      <c r="V42" s="16"/>
      <c r="W42" s="16"/>
      <c r="X42" s="16" t="str">
        <f t="shared" ref="X42:X46" si="8">IF(COUNTA(B42:W42)=0,"",IF(AND(SUM(G42:K42)=F42,COUNTIF(L42:N42,"x")=1,COUNTIF(O42:Q42,"x")=1,COUNTIF(R42:T42,"x")=1),"OK","Lệch: kiểm tra (6)-(20)"))</f>
        <v/>
      </c>
    </row>
    <row r="43" ht="15.75" customHeight="1">
      <c r="A43" s="14">
        <v>2.0</v>
      </c>
      <c r="B43" s="16"/>
      <c r="C43" s="16"/>
      <c r="D43" s="16"/>
      <c r="E43" s="21"/>
      <c r="F43" s="21"/>
      <c r="G43" s="21"/>
      <c r="H43" s="21"/>
      <c r="I43" s="21"/>
      <c r="J43" s="21"/>
      <c r="K43" s="21"/>
      <c r="L43" s="14"/>
      <c r="M43" s="14"/>
      <c r="N43" s="14"/>
      <c r="O43" s="14"/>
      <c r="P43" s="14"/>
      <c r="Q43" s="14"/>
      <c r="R43" s="14"/>
      <c r="S43" s="14"/>
      <c r="T43" s="14"/>
      <c r="U43" s="16"/>
      <c r="V43" s="16"/>
      <c r="W43" s="16"/>
      <c r="X43" s="16" t="str">
        <f t="shared" si="8"/>
        <v/>
      </c>
    </row>
    <row r="44" ht="15.75" customHeight="1">
      <c r="A44" s="14">
        <v>3.0</v>
      </c>
      <c r="B44" s="16"/>
      <c r="C44" s="16"/>
      <c r="D44" s="16"/>
      <c r="E44" s="21"/>
      <c r="F44" s="21"/>
      <c r="G44" s="21"/>
      <c r="H44" s="21"/>
      <c r="I44" s="21"/>
      <c r="J44" s="21"/>
      <c r="K44" s="21"/>
      <c r="L44" s="14"/>
      <c r="M44" s="14"/>
      <c r="N44" s="14"/>
      <c r="O44" s="14"/>
      <c r="P44" s="14"/>
      <c r="Q44" s="14"/>
      <c r="R44" s="14"/>
      <c r="S44" s="14"/>
      <c r="T44" s="14"/>
      <c r="U44" s="16"/>
      <c r="V44" s="16"/>
      <c r="W44" s="16"/>
      <c r="X44" s="16" t="str">
        <f t="shared" si="8"/>
        <v/>
      </c>
    </row>
    <row r="45" ht="15.75" customHeight="1">
      <c r="A45" s="14">
        <v>4.0</v>
      </c>
      <c r="B45" s="16"/>
      <c r="C45" s="16"/>
      <c r="D45" s="16"/>
      <c r="E45" s="21"/>
      <c r="F45" s="21"/>
      <c r="G45" s="21"/>
      <c r="H45" s="21"/>
      <c r="I45" s="21"/>
      <c r="J45" s="21"/>
      <c r="K45" s="21"/>
      <c r="L45" s="14"/>
      <c r="M45" s="14"/>
      <c r="N45" s="14"/>
      <c r="O45" s="14"/>
      <c r="P45" s="14"/>
      <c r="Q45" s="14"/>
      <c r="R45" s="14"/>
      <c r="S45" s="14"/>
      <c r="T45" s="14"/>
      <c r="U45" s="16"/>
      <c r="V45" s="16"/>
      <c r="W45" s="16"/>
      <c r="X45" s="16" t="str">
        <f t="shared" si="8"/>
        <v/>
      </c>
    </row>
    <row r="46" ht="15.75" customHeight="1">
      <c r="A46" s="14">
        <v>5.0</v>
      </c>
      <c r="B46" s="16"/>
      <c r="C46" s="16"/>
      <c r="D46" s="16"/>
      <c r="E46" s="21"/>
      <c r="F46" s="21"/>
      <c r="G46" s="21"/>
      <c r="H46" s="21"/>
      <c r="I46" s="21"/>
      <c r="J46" s="21"/>
      <c r="K46" s="21"/>
      <c r="L46" s="14"/>
      <c r="M46" s="14"/>
      <c r="N46" s="14"/>
      <c r="O46" s="14"/>
      <c r="P46" s="14"/>
      <c r="Q46" s="14"/>
      <c r="R46" s="14"/>
      <c r="S46" s="14"/>
      <c r="T46" s="14"/>
      <c r="U46" s="16"/>
      <c r="V46" s="16"/>
      <c r="W46" s="16"/>
      <c r="X46" s="16" t="str">
        <f t="shared" si="8"/>
        <v/>
      </c>
    </row>
    <row r="47" ht="15.75" customHeight="1">
      <c r="A47" s="12" t="s">
        <v>138</v>
      </c>
      <c r="B47" s="13" t="s">
        <v>139</v>
      </c>
      <c r="C47" s="13"/>
      <c r="D47" s="13"/>
      <c r="E47" s="19">
        <f t="shared" ref="E47:K47" si="9">SUM(E48:E52)</f>
        <v>0</v>
      </c>
      <c r="F47" s="19">
        <f t="shared" si="9"/>
        <v>0</v>
      </c>
      <c r="G47" s="19">
        <f t="shared" si="9"/>
        <v>0</v>
      </c>
      <c r="H47" s="19">
        <f t="shared" si="9"/>
        <v>0</v>
      </c>
      <c r="I47" s="19">
        <f t="shared" si="9"/>
        <v>0</v>
      </c>
      <c r="J47" s="19">
        <f t="shared" si="9"/>
        <v>0</v>
      </c>
      <c r="K47" s="19">
        <f t="shared" si="9"/>
        <v>0</v>
      </c>
      <c r="L47" s="19">
        <f>SUMIF(L48:L52,"x",F48:F52)</f>
        <v>0</v>
      </c>
      <c r="M47" s="19">
        <f>SUMIF(M48:M52,"x",F48:F52)</f>
        <v>0</v>
      </c>
      <c r="N47" s="19">
        <f>SUMIF(N48:N52,"x",F48:F52)</f>
        <v>0</v>
      </c>
      <c r="O47" s="19">
        <f>SUMIF(O48:O52,"x",F48:F52)</f>
        <v>0</v>
      </c>
      <c r="P47" s="19">
        <f>SUMIF(P48:P52,"x",F48:F52)</f>
        <v>0</v>
      </c>
      <c r="Q47" s="19">
        <f>SUMIF(Q48:Q52,"x",F48:F52)</f>
        <v>0</v>
      </c>
      <c r="R47" s="19">
        <f>SUMIF(R48:R52,"x",F48:F52)</f>
        <v>0</v>
      </c>
      <c r="S47" s="19">
        <f>SUMIF(S48:S52,"x",F48:F52)</f>
        <v>0</v>
      </c>
      <c r="T47" s="19">
        <f>SUMIF(T48:T52,"x",F48:F52)</f>
        <v>0</v>
      </c>
      <c r="U47" s="13"/>
      <c r="V47" s="13"/>
      <c r="W47" s="13"/>
      <c r="X47" s="13"/>
    </row>
    <row r="48" ht="15.75" customHeight="1">
      <c r="A48" s="14">
        <v>1.0</v>
      </c>
      <c r="B48" s="16"/>
      <c r="C48" s="16"/>
      <c r="D48" s="16"/>
      <c r="E48" s="21"/>
      <c r="F48" s="21"/>
      <c r="G48" s="21"/>
      <c r="H48" s="21"/>
      <c r="I48" s="21"/>
      <c r="J48" s="21"/>
      <c r="K48" s="21"/>
      <c r="L48" s="14"/>
      <c r="M48" s="14"/>
      <c r="N48" s="14"/>
      <c r="O48" s="14"/>
      <c r="P48" s="14"/>
      <c r="Q48" s="14"/>
      <c r="R48" s="14"/>
      <c r="S48" s="14"/>
      <c r="T48" s="14"/>
      <c r="U48" s="16"/>
      <c r="V48" s="16"/>
      <c r="W48" s="16"/>
      <c r="X48" s="16" t="str">
        <f t="shared" ref="X48:X52" si="10">IF(COUNTA(B48:W48)=0,"",IF(AND(SUM(G48:K48)=F48,COUNTIF(L48:N48,"x")=1,COUNTIF(O48:Q48,"x")=1,COUNTIF(R48:T48,"x")=1),"OK","Lệch: kiểm tra (6)-(20)"))</f>
        <v/>
      </c>
    </row>
    <row r="49" ht="15.75" customHeight="1">
      <c r="A49" s="14">
        <v>2.0</v>
      </c>
      <c r="B49" s="16"/>
      <c r="C49" s="16"/>
      <c r="D49" s="16"/>
      <c r="E49" s="21"/>
      <c r="F49" s="21"/>
      <c r="G49" s="21"/>
      <c r="H49" s="21"/>
      <c r="I49" s="21"/>
      <c r="J49" s="21"/>
      <c r="K49" s="21"/>
      <c r="L49" s="14"/>
      <c r="M49" s="14"/>
      <c r="N49" s="14"/>
      <c r="O49" s="14"/>
      <c r="P49" s="14"/>
      <c r="Q49" s="14"/>
      <c r="R49" s="14"/>
      <c r="S49" s="14"/>
      <c r="T49" s="14"/>
      <c r="U49" s="16"/>
      <c r="V49" s="16"/>
      <c r="W49" s="16"/>
      <c r="X49" s="16" t="str">
        <f t="shared" si="10"/>
        <v/>
      </c>
    </row>
    <row r="50" ht="15.75" customHeight="1">
      <c r="A50" s="14">
        <v>3.0</v>
      </c>
      <c r="B50" s="16"/>
      <c r="C50" s="16"/>
      <c r="D50" s="16"/>
      <c r="E50" s="21"/>
      <c r="F50" s="21"/>
      <c r="G50" s="21"/>
      <c r="H50" s="21"/>
      <c r="I50" s="21"/>
      <c r="J50" s="21"/>
      <c r="K50" s="21"/>
      <c r="L50" s="14"/>
      <c r="M50" s="14"/>
      <c r="N50" s="14"/>
      <c r="O50" s="14"/>
      <c r="P50" s="14"/>
      <c r="Q50" s="14"/>
      <c r="R50" s="14"/>
      <c r="S50" s="14"/>
      <c r="T50" s="14"/>
      <c r="U50" s="16"/>
      <c r="V50" s="16"/>
      <c r="W50" s="16"/>
      <c r="X50" s="16" t="str">
        <f t="shared" si="10"/>
        <v/>
      </c>
    </row>
    <row r="51" ht="15.75" customHeight="1">
      <c r="A51" s="14">
        <v>4.0</v>
      </c>
      <c r="B51" s="16"/>
      <c r="C51" s="16"/>
      <c r="D51" s="16"/>
      <c r="E51" s="21"/>
      <c r="F51" s="21"/>
      <c r="G51" s="21"/>
      <c r="H51" s="21"/>
      <c r="I51" s="21"/>
      <c r="J51" s="21"/>
      <c r="K51" s="21"/>
      <c r="L51" s="14"/>
      <c r="M51" s="14"/>
      <c r="N51" s="14"/>
      <c r="O51" s="14"/>
      <c r="P51" s="14"/>
      <c r="Q51" s="14"/>
      <c r="R51" s="14"/>
      <c r="S51" s="14"/>
      <c r="T51" s="14"/>
      <c r="U51" s="16"/>
      <c r="V51" s="16"/>
      <c r="W51" s="16"/>
      <c r="X51" s="16" t="str">
        <f t="shared" si="10"/>
        <v/>
      </c>
    </row>
    <row r="52" ht="15.75" customHeight="1">
      <c r="A52" s="14">
        <v>5.0</v>
      </c>
      <c r="B52" s="16"/>
      <c r="C52" s="16"/>
      <c r="D52" s="16"/>
      <c r="E52" s="21"/>
      <c r="F52" s="21"/>
      <c r="G52" s="21"/>
      <c r="H52" s="21"/>
      <c r="I52" s="21"/>
      <c r="J52" s="21"/>
      <c r="K52" s="21"/>
      <c r="L52" s="14"/>
      <c r="M52" s="14"/>
      <c r="N52" s="14"/>
      <c r="O52" s="14"/>
      <c r="P52" s="14"/>
      <c r="Q52" s="14"/>
      <c r="R52" s="14"/>
      <c r="S52" s="14"/>
      <c r="T52" s="14"/>
      <c r="U52" s="16"/>
      <c r="V52" s="16"/>
      <c r="W52" s="16"/>
      <c r="X52" s="16" t="str">
        <f t="shared" si="10"/>
        <v/>
      </c>
    </row>
    <row r="53" ht="15.75" customHeight="1">
      <c r="A53" s="12" t="s">
        <v>140</v>
      </c>
      <c r="B53" s="13" t="s">
        <v>141</v>
      </c>
      <c r="C53" s="13"/>
      <c r="D53" s="13"/>
      <c r="E53" s="19">
        <f t="shared" ref="E53:K53" si="11">SUM(E54:E58)</f>
        <v>0</v>
      </c>
      <c r="F53" s="19">
        <f t="shared" si="11"/>
        <v>0</v>
      </c>
      <c r="G53" s="19">
        <f t="shared" si="11"/>
        <v>0</v>
      </c>
      <c r="H53" s="19">
        <f t="shared" si="11"/>
        <v>0</v>
      </c>
      <c r="I53" s="19">
        <f t="shared" si="11"/>
        <v>0</v>
      </c>
      <c r="J53" s="19">
        <f t="shared" si="11"/>
        <v>0</v>
      </c>
      <c r="K53" s="19">
        <f t="shared" si="11"/>
        <v>0</v>
      </c>
      <c r="L53" s="19">
        <f>SUMIF(L54:L58,"x",F54:F58)</f>
        <v>0</v>
      </c>
      <c r="M53" s="19">
        <f>SUMIF(M54:M58,"x",F54:F58)</f>
        <v>0</v>
      </c>
      <c r="N53" s="19">
        <f>SUMIF(N54:N58,"x",F54:F58)</f>
        <v>0</v>
      </c>
      <c r="O53" s="19">
        <f>SUMIF(O54:O58,"x",F54:F58)</f>
        <v>0</v>
      </c>
      <c r="P53" s="19">
        <f>SUMIF(P54:P58,"x",F54:F58)</f>
        <v>0</v>
      </c>
      <c r="Q53" s="19">
        <f>SUMIF(Q54:Q58,"x",F54:F58)</f>
        <v>0</v>
      </c>
      <c r="R53" s="19">
        <f>SUMIF(R54:R58,"x",F54:F58)</f>
        <v>0</v>
      </c>
      <c r="S53" s="19">
        <f>SUMIF(S54:S58,"x",F54:F58)</f>
        <v>0</v>
      </c>
      <c r="T53" s="19">
        <f>SUMIF(T54:T58,"x",F54:F58)</f>
        <v>0</v>
      </c>
      <c r="U53" s="13"/>
      <c r="V53" s="13"/>
      <c r="W53" s="13"/>
      <c r="X53" s="13"/>
    </row>
    <row r="54" ht="15.75" customHeight="1">
      <c r="A54" s="14">
        <v>1.0</v>
      </c>
      <c r="B54" s="16"/>
      <c r="C54" s="16"/>
      <c r="D54" s="16"/>
      <c r="E54" s="21"/>
      <c r="F54" s="21"/>
      <c r="G54" s="21"/>
      <c r="H54" s="21"/>
      <c r="I54" s="21"/>
      <c r="J54" s="21"/>
      <c r="K54" s="21"/>
      <c r="L54" s="14"/>
      <c r="M54" s="14"/>
      <c r="N54" s="14"/>
      <c r="O54" s="14"/>
      <c r="P54" s="14"/>
      <c r="Q54" s="14"/>
      <c r="R54" s="14"/>
      <c r="S54" s="14"/>
      <c r="T54" s="14"/>
      <c r="U54" s="16"/>
      <c r="V54" s="16"/>
      <c r="W54" s="16"/>
      <c r="X54" s="16" t="str">
        <f t="shared" ref="X54:X58" si="12">IF(COUNTA(B54:W54)=0,"",IF(AND(SUM(G54:K54)=F54,COUNTIF(L54:N54,"x")=1,COUNTIF(O54:Q54,"x")=1,COUNTIF(R54:T54,"x")=1),"OK","Lệch: kiểm tra (6)-(20)"))</f>
        <v/>
      </c>
    </row>
    <row r="55" ht="15.75" customHeight="1">
      <c r="A55" s="14">
        <v>2.0</v>
      </c>
      <c r="B55" s="16"/>
      <c r="C55" s="16"/>
      <c r="D55" s="16"/>
      <c r="E55" s="21"/>
      <c r="F55" s="21"/>
      <c r="G55" s="21"/>
      <c r="H55" s="21"/>
      <c r="I55" s="21"/>
      <c r="J55" s="21"/>
      <c r="K55" s="21"/>
      <c r="L55" s="14"/>
      <c r="M55" s="14"/>
      <c r="N55" s="14"/>
      <c r="O55" s="14"/>
      <c r="P55" s="14"/>
      <c r="Q55" s="14"/>
      <c r="R55" s="14"/>
      <c r="S55" s="14"/>
      <c r="T55" s="14"/>
      <c r="U55" s="16"/>
      <c r="V55" s="16"/>
      <c r="W55" s="16"/>
      <c r="X55" s="16" t="str">
        <f t="shared" si="12"/>
        <v/>
      </c>
    </row>
    <row r="56" ht="15.75" customHeight="1">
      <c r="A56" s="14">
        <v>3.0</v>
      </c>
      <c r="B56" s="16"/>
      <c r="C56" s="16"/>
      <c r="D56" s="16"/>
      <c r="E56" s="21"/>
      <c r="F56" s="21"/>
      <c r="G56" s="21"/>
      <c r="H56" s="21"/>
      <c r="I56" s="21"/>
      <c r="J56" s="21"/>
      <c r="K56" s="21"/>
      <c r="L56" s="14"/>
      <c r="M56" s="14"/>
      <c r="N56" s="14"/>
      <c r="O56" s="14"/>
      <c r="P56" s="14"/>
      <c r="Q56" s="14"/>
      <c r="R56" s="14"/>
      <c r="S56" s="14"/>
      <c r="T56" s="14"/>
      <c r="U56" s="16"/>
      <c r="V56" s="16"/>
      <c r="W56" s="16"/>
      <c r="X56" s="16" t="str">
        <f t="shared" si="12"/>
        <v/>
      </c>
    </row>
    <row r="57" ht="15.75" customHeight="1">
      <c r="A57" s="14">
        <v>4.0</v>
      </c>
      <c r="B57" s="16"/>
      <c r="C57" s="16"/>
      <c r="D57" s="16"/>
      <c r="E57" s="21"/>
      <c r="F57" s="21"/>
      <c r="G57" s="21"/>
      <c r="H57" s="21"/>
      <c r="I57" s="21"/>
      <c r="J57" s="21"/>
      <c r="K57" s="21"/>
      <c r="L57" s="14"/>
      <c r="M57" s="14"/>
      <c r="N57" s="14"/>
      <c r="O57" s="14"/>
      <c r="P57" s="14"/>
      <c r="Q57" s="14"/>
      <c r="R57" s="14"/>
      <c r="S57" s="14"/>
      <c r="T57" s="14"/>
      <c r="U57" s="16"/>
      <c r="V57" s="16"/>
      <c r="W57" s="16"/>
      <c r="X57" s="16" t="str">
        <f t="shared" si="12"/>
        <v/>
      </c>
    </row>
    <row r="58" ht="15.75" customHeight="1">
      <c r="A58" s="14">
        <v>5.0</v>
      </c>
      <c r="B58" s="16"/>
      <c r="C58" s="16"/>
      <c r="D58" s="16"/>
      <c r="E58" s="21"/>
      <c r="F58" s="21"/>
      <c r="G58" s="21"/>
      <c r="H58" s="21"/>
      <c r="I58" s="21"/>
      <c r="J58" s="21"/>
      <c r="K58" s="21"/>
      <c r="L58" s="14"/>
      <c r="M58" s="14"/>
      <c r="N58" s="14"/>
      <c r="O58" s="14"/>
      <c r="P58" s="14"/>
      <c r="Q58" s="14"/>
      <c r="R58" s="14"/>
      <c r="S58" s="14"/>
      <c r="T58" s="14"/>
      <c r="U58" s="16"/>
      <c r="V58" s="16"/>
      <c r="W58" s="16"/>
      <c r="X58" s="16" t="str">
        <f t="shared" si="12"/>
        <v/>
      </c>
    </row>
    <row r="59" ht="15.75" customHeight="1">
      <c r="A59" s="12" t="s">
        <v>142</v>
      </c>
      <c r="B59" s="13" t="s">
        <v>143</v>
      </c>
      <c r="C59" s="13"/>
      <c r="D59" s="13"/>
      <c r="E59" s="19">
        <f t="shared" ref="E59:K59" si="13">SUM(E60:E64)</f>
        <v>0</v>
      </c>
      <c r="F59" s="19">
        <f t="shared" si="13"/>
        <v>0</v>
      </c>
      <c r="G59" s="19">
        <f t="shared" si="13"/>
        <v>0</v>
      </c>
      <c r="H59" s="19">
        <f t="shared" si="13"/>
        <v>0</v>
      </c>
      <c r="I59" s="19">
        <f t="shared" si="13"/>
        <v>0</v>
      </c>
      <c r="J59" s="19">
        <f t="shared" si="13"/>
        <v>0</v>
      </c>
      <c r="K59" s="19">
        <f t="shared" si="13"/>
        <v>0</v>
      </c>
      <c r="L59" s="19">
        <f>SUMIF(L60:L64,"x",F60:F64)</f>
        <v>0</v>
      </c>
      <c r="M59" s="19">
        <f>SUMIF(M60:M64,"x",F60:F64)</f>
        <v>0</v>
      </c>
      <c r="N59" s="19">
        <f>SUMIF(N60:N64,"x",F60:F64)</f>
        <v>0</v>
      </c>
      <c r="O59" s="19">
        <f>SUMIF(O60:O64,"x",F60:F64)</f>
        <v>0</v>
      </c>
      <c r="P59" s="19">
        <f>SUMIF(P60:P64,"x",F60:F64)</f>
        <v>0</v>
      </c>
      <c r="Q59" s="19">
        <f>SUMIF(Q60:Q64,"x",F60:F64)</f>
        <v>0</v>
      </c>
      <c r="R59" s="19">
        <f>SUMIF(R60:R64,"x",F60:F64)</f>
        <v>0</v>
      </c>
      <c r="S59" s="19">
        <f>SUMIF(S60:S64,"x",F60:F64)</f>
        <v>0</v>
      </c>
      <c r="T59" s="19">
        <f>SUMIF(T60:T64,"x",F60:F64)</f>
        <v>0</v>
      </c>
      <c r="U59" s="13"/>
      <c r="V59" s="13"/>
      <c r="W59" s="13"/>
      <c r="X59" s="13"/>
    </row>
    <row r="60" ht="15.75" customHeight="1">
      <c r="A60" s="14">
        <v>1.0</v>
      </c>
      <c r="B60" s="16"/>
      <c r="C60" s="16"/>
      <c r="D60" s="16"/>
      <c r="E60" s="21"/>
      <c r="F60" s="21"/>
      <c r="G60" s="21"/>
      <c r="H60" s="21"/>
      <c r="I60" s="21"/>
      <c r="J60" s="21"/>
      <c r="K60" s="21"/>
      <c r="L60" s="14"/>
      <c r="M60" s="14"/>
      <c r="N60" s="14"/>
      <c r="O60" s="14"/>
      <c r="P60" s="14"/>
      <c r="Q60" s="14"/>
      <c r="R60" s="14"/>
      <c r="S60" s="14"/>
      <c r="T60" s="14"/>
      <c r="U60" s="16"/>
      <c r="V60" s="16"/>
      <c r="W60" s="16"/>
      <c r="X60" s="16" t="str">
        <f t="shared" ref="X60:X64" si="14">IF(COUNTA(B60:W60)=0,"",IF(AND(SUM(G60:K60)=F60,COUNTIF(L60:N60,"x")=1,COUNTIF(O60:Q60,"x")=1,COUNTIF(R60:T60,"x")=1),"OK","Lệch: kiểm tra (6)-(20)"))</f>
        <v/>
      </c>
    </row>
    <row r="61" ht="15.75" customHeight="1">
      <c r="A61" s="14">
        <v>2.0</v>
      </c>
      <c r="B61" s="16"/>
      <c r="C61" s="16"/>
      <c r="D61" s="16"/>
      <c r="E61" s="21"/>
      <c r="F61" s="21"/>
      <c r="G61" s="21"/>
      <c r="H61" s="21"/>
      <c r="I61" s="21"/>
      <c r="J61" s="21"/>
      <c r="K61" s="21"/>
      <c r="L61" s="14"/>
      <c r="M61" s="14"/>
      <c r="N61" s="14"/>
      <c r="O61" s="14"/>
      <c r="P61" s="14"/>
      <c r="Q61" s="14"/>
      <c r="R61" s="14"/>
      <c r="S61" s="14"/>
      <c r="T61" s="14"/>
      <c r="U61" s="16"/>
      <c r="V61" s="16"/>
      <c r="W61" s="16"/>
      <c r="X61" s="16" t="str">
        <f t="shared" si="14"/>
        <v/>
      </c>
    </row>
    <row r="62" ht="15.75" customHeight="1">
      <c r="A62" s="14">
        <v>3.0</v>
      </c>
      <c r="B62" s="16"/>
      <c r="C62" s="16"/>
      <c r="D62" s="16"/>
      <c r="E62" s="21"/>
      <c r="F62" s="21"/>
      <c r="G62" s="21"/>
      <c r="H62" s="21"/>
      <c r="I62" s="21"/>
      <c r="J62" s="21"/>
      <c r="K62" s="21"/>
      <c r="L62" s="14"/>
      <c r="M62" s="14"/>
      <c r="N62" s="14"/>
      <c r="O62" s="14"/>
      <c r="P62" s="14"/>
      <c r="Q62" s="14"/>
      <c r="R62" s="14"/>
      <c r="S62" s="14"/>
      <c r="T62" s="14"/>
      <c r="U62" s="16"/>
      <c r="V62" s="16"/>
      <c r="W62" s="16"/>
      <c r="X62" s="16" t="str">
        <f t="shared" si="14"/>
        <v/>
      </c>
    </row>
    <row r="63" ht="15.75" customHeight="1">
      <c r="A63" s="14">
        <v>4.0</v>
      </c>
      <c r="B63" s="16"/>
      <c r="C63" s="16"/>
      <c r="D63" s="16"/>
      <c r="E63" s="21"/>
      <c r="F63" s="21"/>
      <c r="G63" s="21"/>
      <c r="H63" s="21"/>
      <c r="I63" s="21"/>
      <c r="J63" s="21"/>
      <c r="K63" s="21"/>
      <c r="L63" s="14"/>
      <c r="M63" s="14"/>
      <c r="N63" s="14"/>
      <c r="O63" s="14"/>
      <c r="P63" s="14"/>
      <c r="Q63" s="14"/>
      <c r="R63" s="14"/>
      <c r="S63" s="14"/>
      <c r="T63" s="14"/>
      <c r="U63" s="16"/>
      <c r="V63" s="16"/>
      <c r="W63" s="16"/>
      <c r="X63" s="16" t="str">
        <f t="shared" si="14"/>
        <v/>
      </c>
    </row>
    <row r="64" ht="15.75" customHeight="1">
      <c r="A64" s="14">
        <v>5.0</v>
      </c>
      <c r="B64" s="16"/>
      <c r="C64" s="16"/>
      <c r="D64" s="16"/>
      <c r="E64" s="21"/>
      <c r="F64" s="21"/>
      <c r="G64" s="21"/>
      <c r="H64" s="21"/>
      <c r="I64" s="21"/>
      <c r="J64" s="21"/>
      <c r="K64" s="21"/>
      <c r="L64" s="14"/>
      <c r="M64" s="14"/>
      <c r="N64" s="14"/>
      <c r="O64" s="14"/>
      <c r="P64" s="14"/>
      <c r="Q64" s="14"/>
      <c r="R64" s="14"/>
      <c r="S64" s="14"/>
      <c r="T64" s="14"/>
      <c r="U64" s="16"/>
      <c r="V64" s="16"/>
      <c r="W64" s="16"/>
      <c r="X64" s="16" t="str">
        <f t="shared" si="14"/>
        <v/>
      </c>
    </row>
    <row r="65" ht="15.75" customHeight="1">
      <c r="A65" s="12" t="s">
        <v>144</v>
      </c>
      <c r="B65" s="13" t="s">
        <v>145</v>
      </c>
      <c r="C65" s="13"/>
      <c r="D65" s="13"/>
      <c r="E65" s="19">
        <f t="shared" ref="E65:K65" si="15">SUM(E66:E70)</f>
        <v>0</v>
      </c>
      <c r="F65" s="19">
        <f t="shared" si="15"/>
        <v>0</v>
      </c>
      <c r="G65" s="19">
        <f t="shared" si="15"/>
        <v>0</v>
      </c>
      <c r="H65" s="19">
        <f t="shared" si="15"/>
        <v>0</v>
      </c>
      <c r="I65" s="19">
        <f t="shared" si="15"/>
        <v>0</v>
      </c>
      <c r="J65" s="19">
        <f t="shared" si="15"/>
        <v>0</v>
      </c>
      <c r="K65" s="19">
        <f t="shared" si="15"/>
        <v>0</v>
      </c>
      <c r="L65" s="19">
        <f>SUMIF(L66:L70,"x",F66:F70)</f>
        <v>0</v>
      </c>
      <c r="M65" s="19">
        <f>SUMIF(M66:M70,"x",F66:F70)</f>
        <v>0</v>
      </c>
      <c r="N65" s="19">
        <f>SUMIF(N66:N70,"x",F66:F70)</f>
        <v>0</v>
      </c>
      <c r="O65" s="19">
        <f>SUMIF(O66:O70,"x",F66:F70)</f>
        <v>0</v>
      </c>
      <c r="P65" s="19">
        <f>SUMIF(P66:P70,"x",F66:F70)</f>
        <v>0</v>
      </c>
      <c r="Q65" s="19">
        <f>SUMIF(Q66:Q70,"x",F66:F70)</f>
        <v>0</v>
      </c>
      <c r="R65" s="19">
        <f>SUMIF(R66:R70,"x",F66:F70)</f>
        <v>0</v>
      </c>
      <c r="S65" s="19">
        <f>SUMIF(S66:S70,"x",F66:F70)</f>
        <v>0</v>
      </c>
      <c r="T65" s="19">
        <f>SUMIF(T66:T70,"x",F66:F70)</f>
        <v>0</v>
      </c>
      <c r="U65" s="13"/>
      <c r="V65" s="13"/>
      <c r="W65" s="13"/>
      <c r="X65" s="13"/>
    </row>
    <row r="66" ht="15.75" customHeight="1">
      <c r="A66" s="14">
        <v>1.0</v>
      </c>
      <c r="B66" s="16"/>
      <c r="C66" s="16"/>
      <c r="D66" s="16"/>
      <c r="E66" s="21"/>
      <c r="F66" s="21"/>
      <c r="G66" s="21"/>
      <c r="H66" s="21"/>
      <c r="I66" s="21"/>
      <c r="J66" s="21"/>
      <c r="K66" s="21"/>
      <c r="L66" s="14"/>
      <c r="M66" s="14"/>
      <c r="N66" s="14"/>
      <c r="O66" s="14"/>
      <c r="P66" s="14"/>
      <c r="Q66" s="14"/>
      <c r="R66" s="14"/>
      <c r="S66" s="14"/>
      <c r="T66" s="14"/>
      <c r="U66" s="16"/>
      <c r="V66" s="16"/>
      <c r="W66" s="16"/>
      <c r="X66" s="16" t="str">
        <f t="shared" ref="X66:X70" si="16">IF(COUNTA(B66:W66)=0,"",IF(AND(SUM(G66:K66)=F66,COUNTIF(L66:N66,"x")=1,COUNTIF(O66:Q66,"x")=1,COUNTIF(R66:T66,"x")=1),"OK","Lệch: kiểm tra (6)-(20)"))</f>
        <v/>
      </c>
    </row>
    <row r="67" ht="15.75" customHeight="1">
      <c r="A67" s="14">
        <v>2.0</v>
      </c>
      <c r="B67" s="16"/>
      <c r="C67" s="16"/>
      <c r="D67" s="16"/>
      <c r="E67" s="21"/>
      <c r="F67" s="21"/>
      <c r="G67" s="21"/>
      <c r="H67" s="21"/>
      <c r="I67" s="21"/>
      <c r="J67" s="21"/>
      <c r="K67" s="21"/>
      <c r="L67" s="14"/>
      <c r="M67" s="14"/>
      <c r="N67" s="14"/>
      <c r="O67" s="14"/>
      <c r="P67" s="14"/>
      <c r="Q67" s="14"/>
      <c r="R67" s="14"/>
      <c r="S67" s="14"/>
      <c r="T67" s="14"/>
      <c r="U67" s="16"/>
      <c r="V67" s="16"/>
      <c r="W67" s="16"/>
      <c r="X67" s="16" t="str">
        <f t="shared" si="16"/>
        <v/>
      </c>
    </row>
    <row r="68" ht="15.75" customHeight="1">
      <c r="A68" s="14">
        <v>3.0</v>
      </c>
      <c r="B68" s="16"/>
      <c r="C68" s="16"/>
      <c r="D68" s="16"/>
      <c r="E68" s="21"/>
      <c r="F68" s="21"/>
      <c r="G68" s="21"/>
      <c r="H68" s="21"/>
      <c r="I68" s="21"/>
      <c r="J68" s="21"/>
      <c r="K68" s="21"/>
      <c r="L68" s="14"/>
      <c r="M68" s="14"/>
      <c r="N68" s="14"/>
      <c r="O68" s="14"/>
      <c r="P68" s="14"/>
      <c r="Q68" s="14"/>
      <c r="R68" s="14"/>
      <c r="S68" s="14"/>
      <c r="T68" s="14"/>
      <c r="U68" s="16"/>
      <c r="V68" s="16"/>
      <c r="W68" s="16"/>
      <c r="X68" s="16" t="str">
        <f t="shared" si="16"/>
        <v/>
      </c>
    </row>
    <row r="69" ht="15.75" customHeight="1">
      <c r="A69" s="14">
        <v>4.0</v>
      </c>
      <c r="B69" s="16"/>
      <c r="C69" s="16"/>
      <c r="D69" s="16"/>
      <c r="E69" s="21"/>
      <c r="F69" s="21"/>
      <c r="G69" s="21"/>
      <c r="H69" s="21"/>
      <c r="I69" s="21"/>
      <c r="J69" s="21"/>
      <c r="K69" s="21"/>
      <c r="L69" s="14"/>
      <c r="M69" s="14"/>
      <c r="N69" s="14"/>
      <c r="O69" s="14"/>
      <c r="P69" s="14"/>
      <c r="Q69" s="14"/>
      <c r="R69" s="14"/>
      <c r="S69" s="14"/>
      <c r="T69" s="14"/>
      <c r="U69" s="16"/>
      <c r="V69" s="16"/>
      <c r="W69" s="16"/>
      <c r="X69" s="16" t="str">
        <f t="shared" si="16"/>
        <v/>
      </c>
    </row>
    <row r="70" ht="15.75" customHeight="1">
      <c r="A70" s="14">
        <v>5.0</v>
      </c>
      <c r="B70" s="16"/>
      <c r="C70" s="16"/>
      <c r="D70" s="16"/>
      <c r="E70" s="21"/>
      <c r="F70" s="21"/>
      <c r="G70" s="21"/>
      <c r="H70" s="21"/>
      <c r="I70" s="21"/>
      <c r="J70" s="21"/>
      <c r="K70" s="21"/>
      <c r="L70" s="14"/>
      <c r="M70" s="14"/>
      <c r="N70" s="14"/>
      <c r="O70" s="14"/>
      <c r="P70" s="14"/>
      <c r="Q70" s="14"/>
      <c r="R70" s="14"/>
      <c r="S70" s="14"/>
      <c r="T70" s="14"/>
      <c r="U70" s="16"/>
      <c r="V70" s="16"/>
      <c r="W70" s="16"/>
      <c r="X70" s="16" t="str">
        <f t="shared" si="16"/>
        <v/>
      </c>
    </row>
    <row r="71" ht="15.75" customHeight="1">
      <c r="A71" s="12" t="s">
        <v>146</v>
      </c>
      <c r="B71" s="13" t="s">
        <v>147</v>
      </c>
      <c r="C71" s="13"/>
      <c r="D71" s="13"/>
      <c r="E71" s="19">
        <f t="shared" ref="E71:K71" si="17">SUM(E72:E76)</f>
        <v>0</v>
      </c>
      <c r="F71" s="19">
        <f t="shared" si="17"/>
        <v>0</v>
      </c>
      <c r="G71" s="19">
        <f t="shared" si="17"/>
        <v>0</v>
      </c>
      <c r="H71" s="19">
        <f t="shared" si="17"/>
        <v>0</v>
      </c>
      <c r="I71" s="19">
        <f t="shared" si="17"/>
        <v>0</v>
      </c>
      <c r="J71" s="19">
        <f t="shared" si="17"/>
        <v>0</v>
      </c>
      <c r="K71" s="19">
        <f t="shared" si="17"/>
        <v>0</v>
      </c>
      <c r="L71" s="19">
        <f>SUMIF(L72:L76,"x",F72:F76)</f>
        <v>0</v>
      </c>
      <c r="M71" s="19">
        <f>SUMIF(M72:M76,"x",F72:F76)</f>
        <v>0</v>
      </c>
      <c r="N71" s="19">
        <f>SUMIF(N72:N76,"x",F72:F76)</f>
        <v>0</v>
      </c>
      <c r="O71" s="19">
        <f>SUMIF(O72:O76,"x",F72:F76)</f>
        <v>0</v>
      </c>
      <c r="P71" s="19">
        <f>SUMIF(P72:P76,"x",F72:F76)</f>
        <v>0</v>
      </c>
      <c r="Q71" s="19">
        <f>SUMIF(Q72:Q76,"x",F72:F76)</f>
        <v>0</v>
      </c>
      <c r="R71" s="19">
        <f>SUMIF(R72:R76,"x",F72:F76)</f>
        <v>0</v>
      </c>
      <c r="S71" s="19">
        <f>SUMIF(S72:S76,"x",F72:F76)</f>
        <v>0</v>
      </c>
      <c r="T71" s="19">
        <f>SUMIF(T72:T76,"x",F72:F76)</f>
        <v>0</v>
      </c>
      <c r="U71" s="13"/>
      <c r="V71" s="13"/>
      <c r="W71" s="13"/>
      <c r="X71" s="13"/>
    </row>
    <row r="72" ht="15.75" customHeight="1">
      <c r="A72" s="14">
        <v>1.0</v>
      </c>
      <c r="B72" s="16"/>
      <c r="C72" s="16"/>
      <c r="D72" s="16"/>
      <c r="E72" s="21"/>
      <c r="F72" s="21"/>
      <c r="G72" s="21"/>
      <c r="H72" s="21"/>
      <c r="I72" s="21"/>
      <c r="J72" s="21"/>
      <c r="K72" s="21"/>
      <c r="L72" s="14"/>
      <c r="M72" s="14"/>
      <c r="N72" s="14"/>
      <c r="O72" s="14"/>
      <c r="P72" s="14"/>
      <c r="Q72" s="14"/>
      <c r="R72" s="14"/>
      <c r="S72" s="14"/>
      <c r="T72" s="14"/>
      <c r="U72" s="16"/>
      <c r="V72" s="16"/>
      <c r="W72" s="16"/>
      <c r="X72" s="16" t="str">
        <f t="shared" ref="X72:X76" si="18">IF(COUNTA(B72:W72)=0,"",IF(AND(SUM(G72:K72)=F72,COUNTIF(L72:N72,"x")=1,COUNTIF(O72:Q72,"x")=1,COUNTIF(R72:T72,"x")=1),"OK","Lệch: kiểm tra (6)-(20)"))</f>
        <v/>
      </c>
    </row>
    <row r="73" ht="15.75" customHeight="1">
      <c r="A73" s="14">
        <v>2.0</v>
      </c>
      <c r="B73" s="16"/>
      <c r="C73" s="16"/>
      <c r="D73" s="16"/>
      <c r="E73" s="21"/>
      <c r="F73" s="21"/>
      <c r="G73" s="21"/>
      <c r="H73" s="21"/>
      <c r="I73" s="21"/>
      <c r="J73" s="21"/>
      <c r="K73" s="21"/>
      <c r="L73" s="14"/>
      <c r="M73" s="14"/>
      <c r="N73" s="14"/>
      <c r="O73" s="14"/>
      <c r="P73" s="14"/>
      <c r="Q73" s="14"/>
      <c r="R73" s="14"/>
      <c r="S73" s="14"/>
      <c r="T73" s="14"/>
      <c r="U73" s="16"/>
      <c r="V73" s="16"/>
      <c r="W73" s="16"/>
      <c r="X73" s="16" t="str">
        <f t="shared" si="18"/>
        <v/>
      </c>
    </row>
    <row r="74" ht="15.75" customHeight="1">
      <c r="A74" s="14">
        <v>3.0</v>
      </c>
      <c r="B74" s="16"/>
      <c r="C74" s="16"/>
      <c r="D74" s="16"/>
      <c r="E74" s="21"/>
      <c r="F74" s="21"/>
      <c r="G74" s="21"/>
      <c r="H74" s="21"/>
      <c r="I74" s="21"/>
      <c r="J74" s="21"/>
      <c r="K74" s="21"/>
      <c r="L74" s="14"/>
      <c r="M74" s="14"/>
      <c r="N74" s="14"/>
      <c r="O74" s="14"/>
      <c r="P74" s="14"/>
      <c r="Q74" s="14"/>
      <c r="R74" s="14"/>
      <c r="S74" s="14"/>
      <c r="T74" s="14"/>
      <c r="U74" s="16"/>
      <c r="V74" s="16"/>
      <c r="W74" s="16"/>
      <c r="X74" s="16" t="str">
        <f t="shared" si="18"/>
        <v/>
      </c>
    </row>
    <row r="75" ht="15.75" customHeight="1">
      <c r="A75" s="14">
        <v>4.0</v>
      </c>
      <c r="B75" s="16"/>
      <c r="C75" s="16"/>
      <c r="D75" s="16"/>
      <c r="E75" s="21"/>
      <c r="F75" s="21"/>
      <c r="G75" s="21"/>
      <c r="H75" s="21"/>
      <c r="I75" s="21"/>
      <c r="J75" s="21"/>
      <c r="K75" s="21"/>
      <c r="L75" s="14"/>
      <c r="M75" s="14"/>
      <c r="N75" s="14"/>
      <c r="O75" s="14"/>
      <c r="P75" s="14"/>
      <c r="Q75" s="14"/>
      <c r="R75" s="14"/>
      <c r="S75" s="14"/>
      <c r="T75" s="14"/>
      <c r="U75" s="16"/>
      <c r="V75" s="16"/>
      <c r="W75" s="16"/>
      <c r="X75" s="16" t="str">
        <f t="shared" si="18"/>
        <v/>
      </c>
    </row>
    <row r="76" ht="15.75" customHeight="1">
      <c r="A76" s="14">
        <v>5.0</v>
      </c>
      <c r="B76" s="16"/>
      <c r="C76" s="16"/>
      <c r="D76" s="16"/>
      <c r="E76" s="21"/>
      <c r="F76" s="21"/>
      <c r="G76" s="21"/>
      <c r="H76" s="21"/>
      <c r="I76" s="21"/>
      <c r="J76" s="21"/>
      <c r="K76" s="21"/>
      <c r="L76" s="14"/>
      <c r="M76" s="14"/>
      <c r="N76" s="14"/>
      <c r="O76" s="14"/>
      <c r="P76" s="14"/>
      <c r="Q76" s="14"/>
      <c r="R76" s="14"/>
      <c r="S76" s="14"/>
      <c r="T76" s="14"/>
      <c r="U76" s="16"/>
      <c r="V76" s="16"/>
      <c r="W76" s="16"/>
      <c r="X76" s="16" t="str">
        <f t="shared" si="18"/>
        <v/>
      </c>
    </row>
    <row r="77" ht="15.75" customHeight="1">
      <c r="A77" s="12" t="s">
        <v>148</v>
      </c>
      <c r="B77" s="13" t="s">
        <v>149</v>
      </c>
      <c r="C77" s="13"/>
      <c r="D77" s="13"/>
      <c r="E77" s="19">
        <f t="shared" ref="E77:K77" si="19">SUM(E78:E82)</f>
        <v>0</v>
      </c>
      <c r="F77" s="19">
        <f t="shared" si="19"/>
        <v>0</v>
      </c>
      <c r="G77" s="19">
        <f t="shared" si="19"/>
        <v>0</v>
      </c>
      <c r="H77" s="19">
        <f t="shared" si="19"/>
        <v>0</v>
      </c>
      <c r="I77" s="19">
        <f t="shared" si="19"/>
        <v>0</v>
      </c>
      <c r="J77" s="19">
        <f t="shared" si="19"/>
        <v>0</v>
      </c>
      <c r="K77" s="19">
        <f t="shared" si="19"/>
        <v>0</v>
      </c>
      <c r="L77" s="19">
        <f>SUMIF(L78:L82,"x",F78:F82)</f>
        <v>0</v>
      </c>
      <c r="M77" s="19">
        <f>SUMIF(M78:M82,"x",F78:F82)</f>
        <v>0</v>
      </c>
      <c r="N77" s="19">
        <f>SUMIF(N78:N82,"x",F78:F82)</f>
        <v>0</v>
      </c>
      <c r="O77" s="19">
        <f>SUMIF(O78:O82,"x",F78:F82)</f>
        <v>0</v>
      </c>
      <c r="P77" s="19">
        <f>SUMIF(P78:P82,"x",F78:F82)</f>
        <v>0</v>
      </c>
      <c r="Q77" s="19">
        <f>SUMIF(Q78:Q82,"x",F78:F82)</f>
        <v>0</v>
      </c>
      <c r="R77" s="19">
        <f>SUMIF(R78:R82,"x",F78:F82)</f>
        <v>0</v>
      </c>
      <c r="S77" s="19">
        <f>SUMIF(S78:S82,"x",F78:F82)</f>
        <v>0</v>
      </c>
      <c r="T77" s="19">
        <f>SUMIF(T78:T82,"x",F78:F82)</f>
        <v>0</v>
      </c>
      <c r="U77" s="13"/>
      <c r="V77" s="13"/>
      <c r="W77" s="13"/>
      <c r="X77" s="13"/>
    </row>
    <row r="78" ht="15.75" customHeight="1">
      <c r="A78" s="14">
        <v>1.0</v>
      </c>
      <c r="B78" s="16"/>
      <c r="C78" s="16"/>
      <c r="D78" s="16"/>
      <c r="E78" s="21"/>
      <c r="F78" s="21"/>
      <c r="G78" s="21"/>
      <c r="H78" s="21"/>
      <c r="I78" s="21"/>
      <c r="J78" s="21"/>
      <c r="K78" s="21"/>
      <c r="L78" s="14"/>
      <c r="M78" s="14"/>
      <c r="N78" s="14"/>
      <c r="O78" s="14"/>
      <c r="P78" s="14"/>
      <c r="Q78" s="14"/>
      <c r="R78" s="14"/>
      <c r="S78" s="14"/>
      <c r="T78" s="14"/>
      <c r="U78" s="16"/>
      <c r="V78" s="16"/>
      <c r="W78" s="16"/>
      <c r="X78" s="16" t="str">
        <f t="shared" ref="X78:X82" si="20">IF(COUNTA(B78:W78)=0,"",IF(AND(SUM(G78:K78)=F78,COUNTIF(L78:N78,"x")=1,COUNTIF(O78:Q78,"x")=1,COUNTIF(R78:T78,"x")=1),"OK","Lệch: kiểm tra (6)-(20)"))</f>
        <v/>
      </c>
    </row>
    <row r="79" ht="15.75" customHeight="1">
      <c r="A79" s="14">
        <v>2.0</v>
      </c>
      <c r="B79" s="16"/>
      <c r="C79" s="16"/>
      <c r="D79" s="16"/>
      <c r="E79" s="21"/>
      <c r="F79" s="21"/>
      <c r="G79" s="21"/>
      <c r="H79" s="21"/>
      <c r="I79" s="21"/>
      <c r="J79" s="21"/>
      <c r="K79" s="21"/>
      <c r="L79" s="14"/>
      <c r="M79" s="14"/>
      <c r="N79" s="14"/>
      <c r="O79" s="14"/>
      <c r="P79" s="14"/>
      <c r="Q79" s="14"/>
      <c r="R79" s="14"/>
      <c r="S79" s="14"/>
      <c r="T79" s="14"/>
      <c r="U79" s="16"/>
      <c r="V79" s="16"/>
      <c r="W79" s="16"/>
      <c r="X79" s="16" t="str">
        <f t="shared" si="20"/>
        <v/>
      </c>
    </row>
    <row r="80" ht="15.75" customHeight="1">
      <c r="A80" s="14">
        <v>3.0</v>
      </c>
      <c r="B80" s="16"/>
      <c r="C80" s="16"/>
      <c r="D80" s="16"/>
      <c r="E80" s="21"/>
      <c r="F80" s="21"/>
      <c r="G80" s="21"/>
      <c r="H80" s="21"/>
      <c r="I80" s="21"/>
      <c r="J80" s="21"/>
      <c r="K80" s="21"/>
      <c r="L80" s="14"/>
      <c r="M80" s="14"/>
      <c r="N80" s="14"/>
      <c r="O80" s="14"/>
      <c r="P80" s="14"/>
      <c r="Q80" s="14"/>
      <c r="R80" s="14"/>
      <c r="S80" s="14"/>
      <c r="T80" s="14"/>
      <c r="U80" s="16"/>
      <c r="V80" s="16"/>
      <c r="W80" s="16"/>
      <c r="X80" s="16" t="str">
        <f t="shared" si="20"/>
        <v/>
      </c>
    </row>
    <row r="81" ht="15.75" customHeight="1">
      <c r="A81" s="14">
        <v>4.0</v>
      </c>
      <c r="B81" s="16"/>
      <c r="C81" s="16"/>
      <c r="D81" s="16"/>
      <c r="E81" s="21"/>
      <c r="F81" s="21"/>
      <c r="G81" s="21"/>
      <c r="H81" s="21"/>
      <c r="I81" s="21"/>
      <c r="J81" s="21"/>
      <c r="K81" s="21"/>
      <c r="L81" s="14"/>
      <c r="M81" s="14"/>
      <c r="N81" s="14"/>
      <c r="O81" s="14"/>
      <c r="P81" s="14"/>
      <c r="Q81" s="14"/>
      <c r="R81" s="14"/>
      <c r="S81" s="14"/>
      <c r="T81" s="14"/>
      <c r="U81" s="16"/>
      <c r="V81" s="16"/>
      <c r="W81" s="16"/>
      <c r="X81" s="16" t="str">
        <f t="shared" si="20"/>
        <v/>
      </c>
    </row>
    <row r="82" ht="15.75" customHeight="1">
      <c r="A82" s="14">
        <v>5.0</v>
      </c>
      <c r="B82" s="16"/>
      <c r="C82" s="16"/>
      <c r="D82" s="16"/>
      <c r="E82" s="21"/>
      <c r="F82" s="21"/>
      <c r="G82" s="21"/>
      <c r="H82" s="21"/>
      <c r="I82" s="21"/>
      <c r="J82" s="21"/>
      <c r="K82" s="21"/>
      <c r="L82" s="14"/>
      <c r="M82" s="14"/>
      <c r="N82" s="14"/>
      <c r="O82" s="14"/>
      <c r="P82" s="14"/>
      <c r="Q82" s="14"/>
      <c r="R82" s="14"/>
      <c r="S82" s="14"/>
      <c r="T82" s="14"/>
      <c r="U82" s="16"/>
      <c r="V82" s="16"/>
      <c r="W82" s="16"/>
      <c r="X82" s="16" t="str">
        <f t="shared" si="20"/>
        <v/>
      </c>
    </row>
    <row r="83" ht="15.75" customHeight="1">
      <c r="A83" s="12" t="s">
        <v>150</v>
      </c>
      <c r="B83" s="13" t="s">
        <v>151</v>
      </c>
      <c r="C83" s="13"/>
      <c r="D83" s="13"/>
      <c r="E83" s="19">
        <f t="shared" ref="E83:K83" si="21">SUM(E84:E88)</f>
        <v>0</v>
      </c>
      <c r="F83" s="19">
        <f t="shared" si="21"/>
        <v>0</v>
      </c>
      <c r="G83" s="19">
        <f t="shared" si="21"/>
        <v>0</v>
      </c>
      <c r="H83" s="19">
        <f t="shared" si="21"/>
        <v>0</v>
      </c>
      <c r="I83" s="19">
        <f t="shared" si="21"/>
        <v>0</v>
      </c>
      <c r="J83" s="19">
        <f t="shared" si="21"/>
        <v>0</v>
      </c>
      <c r="K83" s="19">
        <f t="shared" si="21"/>
        <v>0</v>
      </c>
      <c r="L83" s="19">
        <f>SUMIF(L84:L88,"x",F84:F88)</f>
        <v>0</v>
      </c>
      <c r="M83" s="19">
        <f>SUMIF(M84:M88,"x",F84:F88)</f>
        <v>0</v>
      </c>
      <c r="N83" s="19">
        <f>SUMIF(N84:N88,"x",F84:F88)</f>
        <v>0</v>
      </c>
      <c r="O83" s="19">
        <f>SUMIF(O84:O88,"x",F84:F88)</f>
        <v>0</v>
      </c>
      <c r="P83" s="19">
        <f>SUMIF(P84:P88,"x",F84:F88)</f>
        <v>0</v>
      </c>
      <c r="Q83" s="19">
        <f>SUMIF(Q84:Q88,"x",F84:F88)</f>
        <v>0</v>
      </c>
      <c r="R83" s="19">
        <f>SUMIF(R84:R88,"x",F84:F88)</f>
        <v>0</v>
      </c>
      <c r="S83" s="19">
        <f>SUMIF(S84:S88,"x",F84:F88)</f>
        <v>0</v>
      </c>
      <c r="T83" s="19">
        <f>SUMIF(T84:T88,"x",F84:F88)</f>
        <v>0</v>
      </c>
      <c r="U83" s="13"/>
      <c r="V83" s="13"/>
      <c r="W83" s="13"/>
      <c r="X83" s="13"/>
    </row>
    <row r="84" ht="15.75" customHeight="1">
      <c r="A84" s="14">
        <v>1.0</v>
      </c>
      <c r="B84" s="16"/>
      <c r="C84" s="16"/>
      <c r="D84" s="16"/>
      <c r="E84" s="21"/>
      <c r="F84" s="21"/>
      <c r="G84" s="21"/>
      <c r="H84" s="21"/>
      <c r="I84" s="21"/>
      <c r="J84" s="21"/>
      <c r="K84" s="21"/>
      <c r="L84" s="14"/>
      <c r="M84" s="14"/>
      <c r="N84" s="14"/>
      <c r="O84" s="14"/>
      <c r="P84" s="14"/>
      <c r="Q84" s="14"/>
      <c r="R84" s="14"/>
      <c r="S84" s="14"/>
      <c r="T84" s="14"/>
      <c r="U84" s="16"/>
      <c r="V84" s="16"/>
      <c r="W84" s="16"/>
      <c r="X84" s="16" t="str">
        <f t="shared" ref="X84:X88" si="22">IF(COUNTA(B84:W84)=0,"",IF(AND(SUM(G84:K84)=F84,COUNTIF(L84:N84,"x")=1,COUNTIF(O84:Q84,"x")=1,COUNTIF(R84:T84,"x")=1),"OK","Lệch: kiểm tra (6)-(20)"))</f>
        <v/>
      </c>
    </row>
    <row r="85" ht="15.75" customHeight="1">
      <c r="A85" s="14">
        <v>2.0</v>
      </c>
      <c r="B85" s="16"/>
      <c r="C85" s="16"/>
      <c r="D85" s="16"/>
      <c r="E85" s="21"/>
      <c r="F85" s="21"/>
      <c r="G85" s="21"/>
      <c r="H85" s="21"/>
      <c r="I85" s="21"/>
      <c r="J85" s="21"/>
      <c r="K85" s="21"/>
      <c r="L85" s="14"/>
      <c r="M85" s="14"/>
      <c r="N85" s="14"/>
      <c r="O85" s="14"/>
      <c r="P85" s="14"/>
      <c r="Q85" s="14"/>
      <c r="R85" s="14"/>
      <c r="S85" s="14"/>
      <c r="T85" s="14"/>
      <c r="U85" s="16"/>
      <c r="V85" s="16"/>
      <c r="W85" s="16"/>
      <c r="X85" s="16" t="str">
        <f t="shared" si="22"/>
        <v/>
      </c>
    </row>
    <row r="86" ht="15.75" customHeight="1">
      <c r="A86" s="14">
        <v>3.0</v>
      </c>
      <c r="B86" s="16"/>
      <c r="C86" s="16"/>
      <c r="D86" s="16"/>
      <c r="E86" s="21"/>
      <c r="F86" s="21"/>
      <c r="G86" s="21"/>
      <c r="H86" s="21"/>
      <c r="I86" s="21"/>
      <c r="J86" s="21"/>
      <c r="K86" s="21"/>
      <c r="L86" s="14"/>
      <c r="M86" s="14"/>
      <c r="N86" s="14"/>
      <c r="O86" s="14"/>
      <c r="P86" s="14"/>
      <c r="Q86" s="14"/>
      <c r="R86" s="14"/>
      <c r="S86" s="14"/>
      <c r="T86" s="14"/>
      <c r="U86" s="16"/>
      <c r="V86" s="16"/>
      <c r="W86" s="16"/>
      <c r="X86" s="16" t="str">
        <f t="shared" si="22"/>
        <v/>
      </c>
    </row>
    <row r="87" ht="15.75" customHeight="1">
      <c r="A87" s="14">
        <v>4.0</v>
      </c>
      <c r="B87" s="16"/>
      <c r="C87" s="16"/>
      <c r="D87" s="16"/>
      <c r="E87" s="21"/>
      <c r="F87" s="21"/>
      <c r="G87" s="21"/>
      <c r="H87" s="21"/>
      <c r="I87" s="21"/>
      <c r="J87" s="21"/>
      <c r="K87" s="21"/>
      <c r="L87" s="14"/>
      <c r="M87" s="14"/>
      <c r="N87" s="14"/>
      <c r="O87" s="14"/>
      <c r="P87" s="14"/>
      <c r="Q87" s="14"/>
      <c r="R87" s="14"/>
      <c r="S87" s="14"/>
      <c r="T87" s="14"/>
      <c r="U87" s="16"/>
      <c r="V87" s="16"/>
      <c r="W87" s="16"/>
      <c r="X87" s="16" t="str">
        <f t="shared" si="22"/>
        <v/>
      </c>
    </row>
    <row r="88" ht="15.75" customHeight="1">
      <c r="A88" s="14">
        <v>5.0</v>
      </c>
      <c r="B88" s="16"/>
      <c r="C88" s="16"/>
      <c r="D88" s="16"/>
      <c r="E88" s="21"/>
      <c r="F88" s="21"/>
      <c r="G88" s="21"/>
      <c r="H88" s="21"/>
      <c r="I88" s="21"/>
      <c r="J88" s="21"/>
      <c r="K88" s="21"/>
      <c r="L88" s="14"/>
      <c r="M88" s="14"/>
      <c r="N88" s="14"/>
      <c r="O88" s="14"/>
      <c r="P88" s="14"/>
      <c r="Q88" s="14"/>
      <c r="R88" s="14"/>
      <c r="S88" s="14"/>
      <c r="T88" s="14"/>
      <c r="U88" s="16"/>
      <c r="V88" s="16"/>
      <c r="W88" s="16"/>
      <c r="X88" s="16" t="str">
        <f t="shared" si="22"/>
        <v/>
      </c>
    </row>
    <row r="89" ht="15.75" customHeight="1">
      <c r="A89" s="12" t="s">
        <v>152</v>
      </c>
      <c r="B89" s="13" t="s">
        <v>153</v>
      </c>
      <c r="C89" s="13"/>
      <c r="D89" s="13"/>
      <c r="E89" s="19">
        <f t="shared" ref="E89:K89" si="23">SUM(E90:E94)</f>
        <v>0</v>
      </c>
      <c r="F89" s="19">
        <f t="shared" si="23"/>
        <v>0</v>
      </c>
      <c r="G89" s="19">
        <f t="shared" si="23"/>
        <v>0</v>
      </c>
      <c r="H89" s="19">
        <f t="shared" si="23"/>
        <v>0</v>
      </c>
      <c r="I89" s="19">
        <f t="shared" si="23"/>
        <v>0</v>
      </c>
      <c r="J89" s="19">
        <f t="shared" si="23"/>
        <v>0</v>
      </c>
      <c r="K89" s="19">
        <f t="shared" si="23"/>
        <v>0</v>
      </c>
      <c r="L89" s="19">
        <f>SUMIF(L90:L94,"x",F90:F94)</f>
        <v>0</v>
      </c>
      <c r="M89" s="19">
        <f>SUMIF(M90:M94,"x",F90:F94)</f>
        <v>0</v>
      </c>
      <c r="N89" s="19">
        <f>SUMIF(N90:N94,"x",F90:F94)</f>
        <v>0</v>
      </c>
      <c r="O89" s="19">
        <f>SUMIF(O90:O94,"x",F90:F94)</f>
        <v>0</v>
      </c>
      <c r="P89" s="19">
        <f>SUMIF(P90:P94,"x",F90:F94)</f>
        <v>0</v>
      </c>
      <c r="Q89" s="19">
        <f>SUMIF(Q90:Q94,"x",F90:F94)</f>
        <v>0</v>
      </c>
      <c r="R89" s="19">
        <f>SUMIF(R90:R94,"x",F90:F94)</f>
        <v>0</v>
      </c>
      <c r="S89" s="19">
        <f>SUMIF(S90:S94,"x",F90:F94)</f>
        <v>0</v>
      </c>
      <c r="T89" s="19">
        <f>SUMIF(T90:T94,"x",F90:F94)</f>
        <v>0</v>
      </c>
      <c r="U89" s="13"/>
      <c r="V89" s="13"/>
      <c r="W89" s="13"/>
      <c r="X89" s="13"/>
    </row>
    <row r="90" ht="15.75" customHeight="1">
      <c r="A90" s="14">
        <v>1.0</v>
      </c>
      <c r="B90" s="16"/>
      <c r="C90" s="16"/>
      <c r="D90" s="16"/>
      <c r="E90" s="21"/>
      <c r="F90" s="21"/>
      <c r="G90" s="21"/>
      <c r="H90" s="21"/>
      <c r="I90" s="21"/>
      <c r="J90" s="21"/>
      <c r="K90" s="21"/>
      <c r="L90" s="14"/>
      <c r="M90" s="14"/>
      <c r="N90" s="14"/>
      <c r="O90" s="14"/>
      <c r="P90" s="14"/>
      <c r="Q90" s="14"/>
      <c r="R90" s="14"/>
      <c r="S90" s="14"/>
      <c r="T90" s="14"/>
      <c r="U90" s="16"/>
      <c r="V90" s="16"/>
      <c r="W90" s="16"/>
      <c r="X90" s="16" t="str">
        <f t="shared" ref="X90:X94" si="24">IF(COUNTA(B90:W90)=0,"",IF(AND(SUM(G90:K90)=F90,COUNTIF(L90:N90,"x")=1,COUNTIF(O90:Q90,"x")=1,COUNTIF(R90:T90,"x")=1),"OK","Lệch: kiểm tra (6)-(20)"))</f>
        <v/>
      </c>
    </row>
    <row r="91" ht="15.75" customHeight="1">
      <c r="A91" s="14">
        <v>2.0</v>
      </c>
      <c r="B91" s="16"/>
      <c r="C91" s="16"/>
      <c r="D91" s="16"/>
      <c r="E91" s="21"/>
      <c r="F91" s="21"/>
      <c r="G91" s="21"/>
      <c r="H91" s="21"/>
      <c r="I91" s="21"/>
      <c r="J91" s="21"/>
      <c r="K91" s="21"/>
      <c r="L91" s="14"/>
      <c r="M91" s="14"/>
      <c r="N91" s="14"/>
      <c r="O91" s="14"/>
      <c r="P91" s="14"/>
      <c r="Q91" s="14"/>
      <c r="R91" s="14"/>
      <c r="S91" s="14"/>
      <c r="T91" s="14"/>
      <c r="U91" s="16"/>
      <c r="V91" s="16"/>
      <c r="W91" s="16"/>
      <c r="X91" s="16" t="str">
        <f t="shared" si="24"/>
        <v/>
      </c>
    </row>
    <row r="92" ht="15.75" customHeight="1">
      <c r="A92" s="14">
        <v>3.0</v>
      </c>
      <c r="B92" s="16"/>
      <c r="C92" s="16"/>
      <c r="D92" s="16"/>
      <c r="E92" s="21"/>
      <c r="F92" s="21"/>
      <c r="G92" s="21"/>
      <c r="H92" s="21"/>
      <c r="I92" s="21"/>
      <c r="J92" s="21"/>
      <c r="K92" s="21"/>
      <c r="L92" s="14"/>
      <c r="M92" s="14"/>
      <c r="N92" s="14"/>
      <c r="O92" s="14"/>
      <c r="P92" s="14"/>
      <c r="Q92" s="14"/>
      <c r="R92" s="14"/>
      <c r="S92" s="14"/>
      <c r="T92" s="14"/>
      <c r="U92" s="16"/>
      <c r="V92" s="16"/>
      <c r="W92" s="16"/>
      <c r="X92" s="16" t="str">
        <f t="shared" si="24"/>
        <v/>
      </c>
    </row>
    <row r="93" ht="15.75" customHeight="1">
      <c r="A93" s="14">
        <v>4.0</v>
      </c>
      <c r="B93" s="16"/>
      <c r="C93" s="16"/>
      <c r="D93" s="16"/>
      <c r="E93" s="21"/>
      <c r="F93" s="21"/>
      <c r="G93" s="21"/>
      <c r="H93" s="21"/>
      <c r="I93" s="21"/>
      <c r="J93" s="21"/>
      <c r="K93" s="21"/>
      <c r="L93" s="14"/>
      <c r="M93" s="14"/>
      <c r="N93" s="14"/>
      <c r="O93" s="14"/>
      <c r="P93" s="14"/>
      <c r="Q93" s="14"/>
      <c r="R93" s="14"/>
      <c r="S93" s="14"/>
      <c r="T93" s="14"/>
      <c r="U93" s="16"/>
      <c r="V93" s="16"/>
      <c r="W93" s="16"/>
      <c r="X93" s="16" t="str">
        <f t="shared" si="24"/>
        <v/>
      </c>
    </row>
    <row r="94" ht="15.75" customHeight="1">
      <c r="A94" s="14">
        <v>5.0</v>
      </c>
      <c r="B94" s="16"/>
      <c r="C94" s="16"/>
      <c r="D94" s="16"/>
      <c r="E94" s="21"/>
      <c r="F94" s="21"/>
      <c r="G94" s="21"/>
      <c r="H94" s="21"/>
      <c r="I94" s="21"/>
      <c r="J94" s="21"/>
      <c r="K94" s="21"/>
      <c r="L94" s="14"/>
      <c r="M94" s="14"/>
      <c r="N94" s="14"/>
      <c r="O94" s="14"/>
      <c r="P94" s="14"/>
      <c r="Q94" s="14"/>
      <c r="R94" s="14"/>
      <c r="S94" s="14"/>
      <c r="T94" s="14"/>
      <c r="U94" s="16"/>
      <c r="V94" s="16"/>
      <c r="W94" s="16"/>
      <c r="X94" s="16" t="str">
        <f t="shared" si="24"/>
        <v/>
      </c>
    </row>
    <row r="95" ht="15.75" customHeight="1">
      <c r="A95" s="12" t="s">
        <v>154</v>
      </c>
      <c r="B95" s="13" t="s">
        <v>155</v>
      </c>
      <c r="C95" s="13"/>
      <c r="D95" s="13"/>
      <c r="E95" s="19">
        <f t="shared" ref="E95:K95" si="25">SUM(E96:E100)</f>
        <v>0</v>
      </c>
      <c r="F95" s="19">
        <f t="shared" si="25"/>
        <v>0</v>
      </c>
      <c r="G95" s="19">
        <f t="shared" si="25"/>
        <v>0</v>
      </c>
      <c r="H95" s="19">
        <f t="shared" si="25"/>
        <v>0</v>
      </c>
      <c r="I95" s="19">
        <f t="shared" si="25"/>
        <v>0</v>
      </c>
      <c r="J95" s="19">
        <f t="shared" si="25"/>
        <v>0</v>
      </c>
      <c r="K95" s="19">
        <f t="shared" si="25"/>
        <v>0</v>
      </c>
      <c r="L95" s="19">
        <f>SUMIF(L96:L100,"x",F96:F100)</f>
        <v>0</v>
      </c>
      <c r="M95" s="19">
        <f>SUMIF(M96:M100,"x",F96:F100)</f>
        <v>0</v>
      </c>
      <c r="N95" s="19">
        <f>SUMIF(N96:N100,"x",F96:F100)</f>
        <v>0</v>
      </c>
      <c r="O95" s="19">
        <f>SUMIF(O96:O100,"x",F96:F100)</f>
        <v>0</v>
      </c>
      <c r="P95" s="19">
        <f>SUMIF(P96:P100,"x",F96:F100)</f>
        <v>0</v>
      </c>
      <c r="Q95" s="19">
        <f>SUMIF(Q96:Q100,"x",F96:F100)</f>
        <v>0</v>
      </c>
      <c r="R95" s="19">
        <f>SUMIF(R96:R100,"x",F96:F100)</f>
        <v>0</v>
      </c>
      <c r="S95" s="19">
        <f>SUMIF(S96:S100,"x",F96:F100)</f>
        <v>0</v>
      </c>
      <c r="T95" s="19">
        <f>SUMIF(T96:T100,"x",F96:F100)</f>
        <v>0</v>
      </c>
      <c r="U95" s="13"/>
      <c r="V95" s="13"/>
      <c r="W95" s="13"/>
      <c r="X95" s="13"/>
    </row>
    <row r="96" ht="15.75" customHeight="1">
      <c r="A96" s="14">
        <v>1.0</v>
      </c>
      <c r="B96" s="16"/>
      <c r="C96" s="16"/>
      <c r="D96" s="16"/>
      <c r="E96" s="21"/>
      <c r="F96" s="21"/>
      <c r="G96" s="21"/>
      <c r="H96" s="21"/>
      <c r="I96" s="21"/>
      <c r="J96" s="21"/>
      <c r="K96" s="21"/>
      <c r="L96" s="14"/>
      <c r="M96" s="14"/>
      <c r="N96" s="14"/>
      <c r="O96" s="14"/>
      <c r="P96" s="14"/>
      <c r="Q96" s="14"/>
      <c r="R96" s="14"/>
      <c r="S96" s="14"/>
      <c r="T96" s="14"/>
      <c r="U96" s="16"/>
      <c r="V96" s="16"/>
      <c r="W96" s="16"/>
      <c r="X96" s="16" t="str">
        <f t="shared" ref="X96:X100" si="26">IF(COUNTA(B96:W96)=0,"",IF(AND(SUM(G96:K96)=F96,COUNTIF(L96:N96,"x")=1,COUNTIF(O96:Q96,"x")=1,COUNTIF(R96:T96,"x")=1),"OK","Lệch: kiểm tra (6)-(20)"))</f>
        <v/>
      </c>
    </row>
    <row r="97" ht="15.75" customHeight="1">
      <c r="A97" s="14">
        <v>2.0</v>
      </c>
      <c r="B97" s="16"/>
      <c r="C97" s="16"/>
      <c r="D97" s="16"/>
      <c r="E97" s="21"/>
      <c r="F97" s="21"/>
      <c r="G97" s="21"/>
      <c r="H97" s="21"/>
      <c r="I97" s="21"/>
      <c r="J97" s="21"/>
      <c r="K97" s="21"/>
      <c r="L97" s="14"/>
      <c r="M97" s="14"/>
      <c r="N97" s="14"/>
      <c r="O97" s="14"/>
      <c r="P97" s="14"/>
      <c r="Q97" s="14"/>
      <c r="R97" s="14"/>
      <c r="S97" s="14"/>
      <c r="T97" s="14"/>
      <c r="U97" s="16"/>
      <c r="V97" s="16"/>
      <c r="W97" s="16"/>
      <c r="X97" s="16" t="str">
        <f t="shared" si="26"/>
        <v/>
      </c>
    </row>
    <row r="98" ht="15.75" customHeight="1">
      <c r="A98" s="14">
        <v>3.0</v>
      </c>
      <c r="B98" s="16"/>
      <c r="C98" s="16"/>
      <c r="D98" s="16"/>
      <c r="E98" s="21"/>
      <c r="F98" s="21"/>
      <c r="G98" s="21"/>
      <c r="H98" s="21"/>
      <c r="I98" s="21"/>
      <c r="J98" s="21"/>
      <c r="K98" s="21"/>
      <c r="L98" s="14"/>
      <c r="M98" s="14"/>
      <c r="N98" s="14"/>
      <c r="O98" s="14"/>
      <c r="P98" s="14"/>
      <c r="Q98" s="14"/>
      <c r="R98" s="14"/>
      <c r="S98" s="14"/>
      <c r="T98" s="14"/>
      <c r="U98" s="16"/>
      <c r="V98" s="16"/>
      <c r="W98" s="16"/>
      <c r="X98" s="16" t="str">
        <f t="shared" si="26"/>
        <v/>
      </c>
    </row>
    <row r="99" ht="15.75" customHeight="1">
      <c r="A99" s="14">
        <v>4.0</v>
      </c>
      <c r="B99" s="16"/>
      <c r="C99" s="16"/>
      <c r="D99" s="16"/>
      <c r="E99" s="21"/>
      <c r="F99" s="21"/>
      <c r="G99" s="21"/>
      <c r="H99" s="21"/>
      <c r="I99" s="21"/>
      <c r="J99" s="21"/>
      <c r="K99" s="21"/>
      <c r="L99" s="14"/>
      <c r="M99" s="14"/>
      <c r="N99" s="14"/>
      <c r="O99" s="14"/>
      <c r="P99" s="14"/>
      <c r="Q99" s="14"/>
      <c r="R99" s="14"/>
      <c r="S99" s="14"/>
      <c r="T99" s="14"/>
      <c r="U99" s="16"/>
      <c r="V99" s="16"/>
      <c r="W99" s="16"/>
      <c r="X99" s="16" t="str">
        <f t="shared" si="26"/>
        <v/>
      </c>
    </row>
    <row r="100" ht="15.75" customHeight="1">
      <c r="A100" s="14">
        <v>5.0</v>
      </c>
      <c r="B100" s="16"/>
      <c r="C100" s="16"/>
      <c r="D100" s="16"/>
      <c r="E100" s="21"/>
      <c r="F100" s="21"/>
      <c r="G100" s="21"/>
      <c r="H100" s="21"/>
      <c r="I100" s="21"/>
      <c r="J100" s="21"/>
      <c r="K100" s="21"/>
      <c r="L100" s="14"/>
      <c r="M100" s="14"/>
      <c r="N100" s="14"/>
      <c r="O100" s="14"/>
      <c r="P100" s="14"/>
      <c r="Q100" s="14"/>
      <c r="R100" s="14"/>
      <c r="S100" s="14"/>
      <c r="T100" s="14"/>
      <c r="U100" s="16"/>
      <c r="V100" s="16"/>
      <c r="W100" s="16"/>
      <c r="X100" s="16" t="str">
        <f t="shared" si="26"/>
        <v/>
      </c>
    </row>
    <row r="101" ht="15.75" customHeight="1">
      <c r="A101" s="12" t="s">
        <v>156</v>
      </c>
      <c r="B101" s="13" t="s">
        <v>157</v>
      </c>
      <c r="C101" s="13"/>
      <c r="D101" s="13"/>
      <c r="E101" s="19">
        <f t="shared" ref="E101:K101" si="27">SUM(E102:E106)</f>
        <v>0</v>
      </c>
      <c r="F101" s="19">
        <f t="shared" si="27"/>
        <v>0</v>
      </c>
      <c r="G101" s="19">
        <f t="shared" si="27"/>
        <v>0</v>
      </c>
      <c r="H101" s="19">
        <f t="shared" si="27"/>
        <v>0</v>
      </c>
      <c r="I101" s="19">
        <f t="shared" si="27"/>
        <v>0</v>
      </c>
      <c r="J101" s="19">
        <f t="shared" si="27"/>
        <v>0</v>
      </c>
      <c r="K101" s="19">
        <f t="shared" si="27"/>
        <v>0</v>
      </c>
      <c r="L101" s="19">
        <f>SUMIF(L102:L106,"x",F102:F106)</f>
        <v>0</v>
      </c>
      <c r="M101" s="19">
        <f>SUMIF(M102:M106,"x",F102:F106)</f>
        <v>0</v>
      </c>
      <c r="N101" s="19">
        <f>SUMIF(N102:N106,"x",F102:F106)</f>
        <v>0</v>
      </c>
      <c r="O101" s="19">
        <f>SUMIF(O102:O106,"x",F102:F106)</f>
        <v>0</v>
      </c>
      <c r="P101" s="19">
        <f>SUMIF(P102:P106,"x",F102:F106)</f>
        <v>0</v>
      </c>
      <c r="Q101" s="19">
        <f>SUMIF(Q102:Q106,"x",F102:F106)</f>
        <v>0</v>
      </c>
      <c r="R101" s="19">
        <f>SUMIF(R102:R106,"x",F102:F106)</f>
        <v>0</v>
      </c>
      <c r="S101" s="19">
        <f>SUMIF(S102:S106,"x",F102:F106)</f>
        <v>0</v>
      </c>
      <c r="T101" s="19">
        <f>SUMIF(T102:T106,"x",F102:F106)</f>
        <v>0</v>
      </c>
      <c r="U101" s="13"/>
      <c r="V101" s="13"/>
      <c r="W101" s="13"/>
      <c r="X101" s="13"/>
    </row>
    <row r="102" ht="15.75" customHeight="1">
      <c r="A102" s="14">
        <v>1.0</v>
      </c>
      <c r="B102" s="16"/>
      <c r="C102" s="16"/>
      <c r="D102" s="16"/>
      <c r="E102" s="21"/>
      <c r="F102" s="21"/>
      <c r="G102" s="21"/>
      <c r="H102" s="21"/>
      <c r="I102" s="21"/>
      <c r="J102" s="21"/>
      <c r="K102" s="21"/>
      <c r="L102" s="14"/>
      <c r="M102" s="14"/>
      <c r="N102" s="14"/>
      <c r="O102" s="14"/>
      <c r="P102" s="14"/>
      <c r="Q102" s="14"/>
      <c r="R102" s="14"/>
      <c r="S102" s="14"/>
      <c r="T102" s="14"/>
      <c r="U102" s="16"/>
      <c r="V102" s="16"/>
      <c r="W102" s="16"/>
      <c r="X102" s="16" t="str">
        <f t="shared" ref="X102:X106" si="28">IF(COUNTA(B102:W102)=0,"",IF(AND(SUM(G102:K102)=F102,COUNTIF(L102:N102,"x")=1,COUNTIF(O102:Q102,"x")=1,COUNTIF(R102:T102,"x")=1),"OK","Lệch: kiểm tra (6)-(20)"))</f>
        <v/>
      </c>
    </row>
    <row r="103" ht="15.75" customHeight="1">
      <c r="A103" s="14">
        <v>2.0</v>
      </c>
      <c r="B103" s="16"/>
      <c r="C103" s="16"/>
      <c r="D103" s="16"/>
      <c r="E103" s="21"/>
      <c r="F103" s="21"/>
      <c r="G103" s="21"/>
      <c r="H103" s="21"/>
      <c r="I103" s="21"/>
      <c r="J103" s="21"/>
      <c r="K103" s="21"/>
      <c r="L103" s="14"/>
      <c r="M103" s="14"/>
      <c r="N103" s="14"/>
      <c r="O103" s="14"/>
      <c r="P103" s="14"/>
      <c r="Q103" s="14"/>
      <c r="R103" s="14"/>
      <c r="S103" s="14"/>
      <c r="T103" s="14"/>
      <c r="U103" s="16"/>
      <c r="V103" s="16"/>
      <c r="W103" s="16"/>
      <c r="X103" s="16" t="str">
        <f t="shared" si="28"/>
        <v/>
      </c>
    </row>
    <row r="104" ht="15.75" customHeight="1">
      <c r="A104" s="14">
        <v>3.0</v>
      </c>
      <c r="B104" s="16"/>
      <c r="C104" s="16"/>
      <c r="D104" s="16"/>
      <c r="E104" s="21"/>
      <c r="F104" s="21"/>
      <c r="G104" s="21"/>
      <c r="H104" s="21"/>
      <c r="I104" s="21"/>
      <c r="J104" s="21"/>
      <c r="K104" s="21"/>
      <c r="L104" s="14"/>
      <c r="M104" s="14"/>
      <c r="N104" s="14"/>
      <c r="O104" s="14"/>
      <c r="P104" s="14"/>
      <c r="Q104" s="14"/>
      <c r="R104" s="14"/>
      <c r="S104" s="14"/>
      <c r="T104" s="14"/>
      <c r="U104" s="16"/>
      <c r="V104" s="16"/>
      <c r="W104" s="16"/>
      <c r="X104" s="16" t="str">
        <f t="shared" si="28"/>
        <v/>
      </c>
    </row>
    <row r="105" ht="15.75" customHeight="1">
      <c r="A105" s="14">
        <v>4.0</v>
      </c>
      <c r="B105" s="16"/>
      <c r="C105" s="16"/>
      <c r="D105" s="16"/>
      <c r="E105" s="21"/>
      <c r="F105" s="21"/>
      <c r="G105" s="21"/>
      <c r="H105" s="21"/>
      <c r="I105" s="21"/>
      <c r="J105" s="21"/>
      <c r="K105" s="21"/>
      <c r="L105" s="14"/>
      <c r="M105" s="14"/>
      <c r="N105" s="14"/>
      <c r="O105" s="14"/>
      <c r="P105" s="14"/>
      <c r="Q105" s="14"/>
      <c r="R105" s="14"/>
      <c r="S105" s="14"/>
      <c r="T105" s="14"/>
      <c r="U105" s="16"/>
      <c r="V105" s="16"/>
      <c r="W105" s="16"/>
      <c r="X105" s="16" t="str">
        <f t="shared" si="28"/>
        <v/>
      </c>
    </row>
    <row r="106" ht="15.75" customHeight="1">
      <c r="A106" s="14">
        <v>5.0</v>
      </c>
      <c r="B106" s="16"/>
      <c r="C106" s="16"/>
      <c r="D106" s="16"/>
      <c r="E106" s="21"/>
      <c r="F106" s="21"/>
      <c r="G106" s="21"/>
      <c r="H106" s="21"/>
      <c r="I106" s="21"/>
      <c r="J106" s="21"/>
      <c r="K106" s="21"/>
      <c r="L106" s="14"/>
      <c r="M106" s="14"/>
      <c r="N106" s="14"/>
      <c r="O106" s="14"/>
      <c r="P106" s="14"/>
      <c r="Q106" s="14"/>
      <c r="R106" s="14"/>
      <c r="S106" s="14"/>
      <c r="T106" s="14"/>
      <c r="U106" s="16"/>
      <c r="V106" s="16"/>
      <c r="W106" s="16"/>
      <c r="X106" s="16" t="str">
        <f t="shared" si="28"/>
        <v/>
      </c>
    </row>
    <row r="107" ht="15.75" customHeight="1">
      <c r="A107" s="12" t="s">
        <v>158</v>
      </c>
      <c r="B107" s="13" t="s">
        <v>159</v>
      </c>
      <c r="C107" s="13"/>
      <c r="D107" s="13"/>
      <c r="E107" s="19">
        <f t="shared" ref="E107:K107" si="29">SUM(E108:E112)</f>
        <v>0</v>
      </c>
      <c r="F107" s="19">
        <f t="shared" si="29"/>
        <v>0</v>
      </c>
      <c r="G107" s="19">
        <f t="shared" si="29"/>
        <v>0</v>
      </c>
      <c r="H107" s="19">
        <f t="shared" si="29"/>
        <v>0</v>
      </c>
      <c r="I107" s="19">
        <f t="shared" si="29"/>
        <v>0</v>
      </c>
      <c r="J107" s="19">
        <f t="shared" si="29"/>
        <v>0</v>
      </c>
      <c r="K107" s="19">
        <f t="shared" si="29"/>
        <v>0</v>
      </c>
      <c r="L107" s="19">
        <f>SUMIF(L108:L112,"x",F108:F112)</f>
        <v>0</v>
      </c>
      <c r="M107" s="19">
        <f>SUMIF(M108:M112,"x",F108:F112)</f>
        <v>0</v>
      </c>
      <c r="N107" s="19">
        <f>SUMIF(N108:N112,"x",F108:F112)</f>
        <v>0</v>
      </c>
      <c r="O107" s="19">
        <f>SUMIF(O108:O112,"x",F108:F112)</f>
        <v>0</v>
      </c>
      <c r="P107" s="19">
        <f>SUMIF(P108:P112,"x",F108:F112)</f>
        <v>0</v>
      </c>
      <c r="Q107" s="19">
        <f>SUMIF(Q108:Q112,"x",F108:F112)</f>
        <v>0</v>
      </c>
      <c r="R107" s="19">
        <f>SUMIF(R108:R112,"x",F108:F112)</f>
        <v>0</v>
      </c>
      <c r="S107" s="19">
        <f>SUMIF(S108:S112,"x",F108:F112)</f>
        <v>0</v>
      </c>
      <c r="T107" s="19">
        <f>SUMIF(T108:T112,"x",F108:F112)</f>
        <v>0</v>
      </c>
      <c r="U107" s="13"/>
      <c r="V107" s="13"/>
      <c r="W107" s="13"/>
      <c r="X107" s="13"/>
    </row>
    <row r="108" ht="15.75" customHeight="1">
      <c r="A108" s="14">
        <v>1.0</v>
      </c>
      <c r="B108" s="16"/>
      <c r="C108" s="16"/>
      <c r="D108" s="16"/>
      <c r="E108" s="21"/>
      <c r="F108" s="21"/>
      <c r="G108" s="21"/>
      <c r="H108" s="21"/>
      <c r="I108" s="21"/>
      <c r="J108" s="21"/>
      <c r="K108" s="21"/>
      <c r="L108" s="14"/>
      <c r="M108" s="14"/>
      <c r="N108" s="14"/>
      <c r="O108" s="14"/>
      <c r="P108" s="14"/>
      <c r="Q108" s="14"/>
      <c r="R108" s="14"/>
      <c r="S108" s="14"/>
      <c r="T108" s="14"/>
      <c r="U108" s="16"/>
      <c r="V108" s="16"/>
      <c r="W108" s="16"/>
      <c r="X108" s="16" t="str">
        <f t="shared" ref="X108:X112" si="30">IF(COUNTA(B108:W108)=0,"",IF(AND(SUM(G108:K108)=F108,COUNTIF(L108:N108,"x")=1,COUNTIF(O108:Q108,"x")=1,COUNTIF(R108:T108,"x")=1),"OK","Lệch: kiểm tra (6)-(20)"))</f>
        <v/>
      </c>
    </row>
    <row r="109" ht="15.75" customHeight="1">
      <c r="A109" s="14">
        <v>2.0</v>
      </c>
      <c r="B109" s="16"/>
      <c r="C109" s="16"/>
      <c r="D109" s="16"/>
      <c r="E109" s="21"/>
      <c r="F109" s="21"/>
      <c r="G109" s="21"/>
      <c r="H109" s="21"/>
      <c r="I109" s="21"/>
      <c r="J109" s="21"/>
      <c r="K109" s="21"/>
      <c r="L109" s="14"/>
      <c r="M109" s="14"/>
      <c r="N109" s="14"/>
      <c r="O109" s="14"/>
      <c r="P109" s="14"/>
      <c r="Q109" s="14"/>
      <c r="R109" s="14"/>
      <c r="S109" s="14"/>
      <c r="T109" s="14"/>
      <c r="U109" s="16"/>
      <c r="V109" s="16"/>
      <c r="W109" s="16"/>
      <c r="X109" s="16" t="str">
        <f t="shared" si="30"/>
        <v/>
      </c>
    </row>
    <row r="110" ht="15.75" customHeight="1">
      <c r="A110" s="14">
        <v>3.0</v>
      </c>
      <c r="B110" s="16"/>
      <c r="C110" s="16"/>
      <c r="D110" s="16"/>
      <c r="E110" s="21"/>
      <c r="F110" s="21"/>
      <c r="G110" s="21"/>
      <c r="H110" s="21"/>
      <c r="I110" s="21"/>
      <c r="J110" s="21"/>
      <c r="K110" s="21"/>
      <c r="L110" s="14"/>
      <c r="M110" s="14"/>
      <c r="N110" s="14"/>
      <c r="O110" s="14"/>
      <c r="P110" s="14"/>
      <c r="Q110" s="14"/>
      <c r="R110" s="14"/>
      <c r="S110" s="14"/>
      <c r="T110" s="14"/>
      <c r="U110" s="16"/>
      <c r="V110" s="16"/>
      <c r="W110" s="16"/>
      <c r="X110" s="16" t="str">
        <f t="shared" si="30"/>
        <v/>
      </c>
    </row>
    <row r="111" ht="15.75" customHeight="1">
      <c r="A111" s="14">
        <v>4.0</v>
      </c>
      <c r="B111" s="16"/>
      <c r="C111" s="16"/>
      <c r="D111" s="16"/>
      <c r="E111" s="21"/>
      <c r="F111" s="21"/>
      <c r="G111" s="21"/>
      <c r="H111" s="21"/>
      <c r="I111" s="21"/>
      <c r="J111" s="21"/>
      <c r="K111" s="21"/>
      <c r="L111" s="14"/>
      <c r="M111" s="14"/>
      <c r="N111" s="14"/>
      <c r="O111" s="14"/>
      <c r="P111" s="14"/>
      <c r="Q111" s="14"/>
      <c r="R111" s="14"/>
      <c r="S111" s="14"/>
      <c r="T111" s="14"/>
      <c r="U111" s="16"/>
      <c r="V111" s="16"/>
      <c r="W111" s="16"/>
      <c r="X111" s="16" t="str">
        <f t="shared" si="30"/>
        <v/>
      </c>
    </row>
    <row r="112" ht="15.75" customHeight="1">
      <c r="A112" s="14">
        <v>5.0</v>
      </c>
      <c r="B112" s="16"/>
      <c r="C112" s="16"/>
      <c r="D112" s="16"/>
      <c r="E112" s="21"/>
      <c r="F112" s="21"/>
      <c r="G112" s="21"/>
      <c r="H112" s="21"/>
      <c r="I112" s="21"/>
      <c r="J112" s="21"/>
      <c r="K112" s="21"/>
      <c r="L112" s="14"/>
      <c r="M112" s="14"/>
      <c r="N112" s="14"/>
      <c r="O112" s="14"/>
      <c r="P112" s="14"/>
      <c r="Q112" s="14"/>
      <c r="R112" s="14"/>
      <c r="S112" s="14"/>
      <c r="T112" s="14"/>
      <c r="U112" s="16"/>
      <c r="V112" s="16"/>
      <c r="W112" s="16"/>
      <c r="X112" s="16" t="str">
        <f t="shared" si="30"/>
        <v/>
      </c>
    </row>
    <row r="113" ht="15.75" customHeight="1">
      <c r="A113" s="12" t="s">
        <v>160</v>
      </c>
      <c r="B113" s="13" t="s">
        <v>161</v>
      </c>
      <c r="C113" s="13"/>
      <c r="D113" s="13"/>
      <c r="E113" s="19">
        <f t="shared" ref="E113:K113" si="31">SUM(E114:E118)</f>
        <v>0</v>
      </c>
      <c r="F113" s="19">
        <f t="shared" si="31"/>
        <v>0</v>
      </c>
      <c r="G113" s="19">
        <f t="shared" si="31"/>
        <v>0</v>
      </c>
      <c r="H113" s="19">
        <f t="shared" si="31"/>
        <v>0</v>
      </c>
      <c r="I113" s="19">
        <f t="shared" si="31"/>
        <v>0</v>
      </c>
      <c r="J113" s="19">
        <f t="shared" si="31"/>
        <v>0</v>
      </c>
      <c r="K113" s="19">
        <f t="shared" si="31"/>
        <v>0</v>
      </c>
      <c r="L113" s="19">
        <f>SUMIF(L114:L118,"x",F114:F118)</f>
        <v>0</v>
      </c>
      <c r="M113" s="19">
        <f>SUMIF(M114:M118,"x",F114:F118)</f>
        <v>0</v>
      </c>
      <c r="N113" s="19">
        <f>SUMIF(N114:N118,"x",F114:F118)</f>
        <v>0</v>
      </c>
      <c r="O113" s="19">
        <f>SUMIF(O114:O118,"x",F114:F118)</f>
        <v>0</v>
      </c>
      <c r="P113" s="19">
        <f>SUMIF(P114:P118,"x",F114:F118)</f>
        <v>0</v>
      </c>
      <c r="Q113" s="19">
        <f>SUMIF(Q114:Q118,"x",F114:F118)</f>
        <v>0</v>
      </c>
      <c r="R113" s="19">
        <f>SUMIF(R114:R118,"x",F114:F118)</f>
        <v>0</v>
      </c>
      <c r="S113" s="19">
        <f>SUMIF(S114:S118,"x",F114:F118)</f>
        <v>0</v>
      </c>
      <c r="T113" s="19">
        <f>SUMIF(T114:T118,"x",F114:F118)</f>
        <v>0</v>
      </c>
      <c r="U113" s="13"/>
      <c r="V113" s="13"/>
      <c r="W113" s="13"/>
      <c r="X113" s="13"/>
    </row>
    <row r="114" ht="15.75" customHeight="1">
      <c r="A114" s="14">
        <v>1.0</v>
      </c>
      <c r="B114" s="16"/>
      <c r="C114" s="16"/>
      <c r="D114" s="16"/>
      <c r="E114" s="21"/>
      <c r="F114" s="21"/>
      <c r="G114" s="21"/>
      <c r="H114" s="21"/>
      <c r="I114" s="21"/>
      <c r="J114" s="21"/>
      <c r="K114" s="21"/>
      <c r="L114" s="14"/>
      <c r="M114" s="14"/>
      <c r="N114" s="14"/>
      <c r="O114" s="14"/>
      <c r="P114" s="14"/>
      <c r="Q114" s="14"/>
      <c r="R114" s="14"/>
      <c r="S114" s="14"/>
      <c r="T114" s="14"/>
      <c r="U114" s="16"/>
      <c r="V114" s="16"/>
      <c r="W114" s="16"/>
      <c r="X114" s="16" t="str">
        <f t="shared" ref="X114:X118" si="32">IF(COUNTA(B114:W114)=0,"",IF(AND(SUM(G114:K114)=F114,COUNTIF(L114:N114,"x")=1,COUNTIF(O114:Q114,"x")=1,COUNTIF(R114:T114,"x")=1),"OK","Lệch: kiểm tra (6)-(20)"))</f>
        <v/>
      </c>
    </row>
    <row r="115" ht="15.75" customHeight="1">
      <c r="A115" s="14">
        <v>2.0</v>
      </c>
      <c r="B115" s="16"/>
      <c r="C115" s="16"/>
      <c r="D115" s="16"/>
      <c r="E115" s="21"/>
      <c r="F115" s="21"/>
      <c r="G115" s="21"/>
      <c r="H115" s="21"/>
      <c r="I115" s="21"/>
      <c r="J115" s="21"/>
      <c r="K115" s="21"/>
      <c r="L115" s="14"/>
      <c r="M115" s="14"/>
      <c r="N115" s="14"/>
      <c r="O115" s="14"/>
      <c r="P115" s="14"/>
      <c r="Q115" s="14"/>
      <c r="R115" s="14"/>
      <c r="S115" s="14"/>
      <c r="T115" s="14"/>
      <c r="U115" s="16"/>
      <c r="V115" s="16"/>
      <c r="W115" s="16"/>
      <c r="X115" s="16" t="str">
        <f t="shared" si="32"/>
        <v/>
      </c>
    </row>
    <row r="116" ht="15.75" customHeight="1">
      <c r="A116" s="14">
        <v>3.0</v>
      </c>
      <c r="B116" s="16"/>
      <c r="C116" s="16"/>
      <c r="D116" s="16"/>
      <c r="E116" s="21"/>
      <c r="F116" s="21"/>
      <c r="G116" s="21"/>
      <c r="H116" s="21"/>
      <c r="I116" s="21"/>
      <c r="J116" s="21"/>
      <c r="K116" s="21"/>
      <c r="L116" s="14"/>
      <c r="M116" s="14"/>
      <c r="N116" s="14"/>
      <c r="O116" s="14"/>
      <c r="P116" s="14"/>
      <c r="Q116" s="14"/>
      <c r="R116" s="14"/>
      <c r="S116" s="14"/>
      <c r="T116" s="14"/>
      <c r="U116" s="16"/>
      <c r="V116" s="16"/>
      <c r="W116" s="16"/>
      <c r="X116" s="16" t="str">
        <f t="shared" si="32"/>
        <v/>
      </c>
    </row>
    <row r="117" ht="15.75" customHeight="1">
      <c r="A117" s="14">
        <v>4.0</v>
      </c>
      <c r="B117" s="16"/>
      <c r="C117" s="16"/>
      <c r="D117" s="16"/>
      <c r="E117" s="21"/>
      <c r="F117" s="21"/>
      <c r="G117" s="21"/>
      <c r="H117" s="21"/>
      <c r="I117" s="21"/>
      <c r="J117" s="21"/>
      <c r="K117" s="21"/>
      <c r="L117" s="14"/>
      <c r="M117" s="14"/>
      <c r="N117" s="14"/>
      <c r="O117" s="14"/>
      <c r="P117" s="14"/>
      <c r="Q117" s="14"/>
      <c r="R117" s="14"/>
      <c r="S117" s="14"/>
      <c r="T117" s="14"/>
      <c r="U117" s="16"/>
      <c r="V117" s="16"/>
      <c r="W117" s="16"/>
      <c r="X117" s="16" t="str">
        <f t="shared" si="32"/>
        <v/>
      </c>
    </row>
    <row r="118" ht="15.75" customHeight="1">
      <c r="A118" s="14">
        <v>5.0</v>
      </c>
      <c r="B118" s="16"/>
      <c r="C118" s="16"/>
      <c r="D118" s="16"/>
      <c r="E118" s="21"/>
      <c r="F118" s="21"/>
      <c r="G118" s="21"/>
      <c r="H118" s="21"/>
      <c r="I118" s="21"/>
      <c r="J118" s="21"/>
      <c r="K118" s="21"/>
      <c r="L118" s="14"/>
      <c r="M118" s="14"/>
      <c r="N118" s="14"/>
      <c r="O118" s="14"/>
      <c r="P118" s="14"/>
      <c r="Q118" s="14"/>
      <c r="R118" s="14"/>
      <c r="S118" s="14"/>
      <c r="T118" s="14"/>
      <c r="U118" s="16"/>
      <c r="V118" s="16"/>
      <c r="W118" s="16"/>
      <c r="X118" s="16" t="str">
        <f t="shared" si="32"/>
        <v/>
      </c>
    </row>
    <row r="119" ht="15.75" customHeight="1">
      <c r="A119" s="12" t="s">
        <v>162</v>
      </c>
      <c r="B119" s="13" t="s">
        <v>163</v>
      </c>
      <c r="C119" s="13"/>
      <c r="D119" s="13"/>
      <c r="E119" s="19">
        <f t="shared" ref="E119:K119" si="33">SUM(E120:E124)</f>
        <v>0</v>
      </c>
      <c r="F119" s="19">
        <f t="shared" si="33"/>
        <v>0</v>
      </c>
      <c r="G119" s="19">
        <f t="shared" si="33"/>
        <v>0</v>
      </c>
      <c r="H119" s="19">
        <f t="shared" si="33"/>
        <v>0</v>
      </c>
      <c r="I119" s="19">
        <f t="shared" si="33"/>
        <v>0</v>
      </c>
      <c r="J119" s="19">
        <f t="shared" si="33"/>
        <v>0</v>
      </c>
      <c r="K119" s="19">
        <f t="shared" si="33"/>
        <v>0</v>
      </c>
      <c r="L119" s="19">
        <f>SUMIF(L120:L124,"x",F120:F124)</f>
        <v>0</v>
      </c>
      <c r="M119" s="19">
        <f>SUMIF(M120:M124,"x",F120:F124)</f>
        <v>0</v>
      </c>
      <c r="N119" s="19">
        <f>SUMIF(N120:N124,"x",F120:F124)</f>
        <v>0</v>
      </c>
      <c r="O119" s="19">
        <f>SUMIF(O120:O124,"x",F120:F124)</f>
        <v>0</v>
      </c>
      <c r="P119" s="19">
        <f>SUMIF(P120:P124,"x",F120:F124)</f>
        <v>0</v>
      </c>
      <c r="Q119" s="19">
        <f>SUMIF(Q120:Q124,"x",F120:F124)</f>
        <v>0</v>
      </c>
      <c r="R119" s="19">
        <f>SUMIF(R120:R124,"x",F120:F124)</f>
        <v>0</v>
      </c>
      <c r="S119" s="19">
        <f>SUMIF(S120:S124,"x",F120:F124)</f>
        <v>0</v>
      </c>
      <c r="T119" s="19">
        <f>SUMIF(T120:T124,"x",F120:F124)</f>
        <v>0</v>
      </c>
      <c r="U119" s="13"/>
      <c r="V119" s="13"/>
      <c r="W119" s="13"/>
      <c r="X119" s="13"/>
    </row>
    <row r="120" ht="15.75" customHeight="1">
      <c r="A120" s="14">
        <v>1.0</v>
      </c>
      <c r="B120" s="16"/>
      <c r="C120" s="16"/>
      <c r="D120" s="16"/>
      <c r="E120" s="21"/>
      <c r="F120" s="21"/>
      <c r="G120" s="21"/>
      <c r="H120" s="21"/>
      <c r="I120" s="21"/>
      <c r="J120" s="21"/>
      <c r="K120" s="21"/>
      <c r="L120" s="14"/>
      <c r="M120" s="14"/>
      <c r="N120" s="14"/>
      <c r="O120" s="14"/>
      <c r="P120" s="14"/>
      <c r="Q120" s="14"/>
      <c r="R120" s="14"/>
      <c r="S120" s="14"/>
      <c r="T120" s="14"/>
      <c r="U120" s="16"/>
      <c r="V120" s="16"/>
      <c r="W120" s="16"/>
      <c r="X120" s="16" t="str">
        <f t="shared" ref="X120:X124" si="34">IF(COUNTA(B120:W120)=0,"",IF(AND(SUM(G120:K120)=F120,COUNTIF(L120:N120,"x")=1,COUNTIF(O120:Q120,"x")=1,COUNTIF(R120:T120,"x")=1),"OK","Lệch: kiểm tra (6)-(20)"))</f>
        <v/>
      </c>
    </row>
    <row r="121" ht="15.75" customHeight="1">
      <c r="A121" s="14">
        <v>2.0</v>
      </c>
      <c r="B121" s="16"/>
      <c r="C121" s="16"/>
      <c r="D121" s="16"/>
      <c r="E121" s="21"/>
      <c r="F121" s="21"/>
      <c r="G121" s="21"/>
      <c r="H121" s="21"/>
      <c r="I121" s="21"/>
      <c r="J121" s="21"/>
      <c r="K121" s="21"/>
      <c r="L121" s="14"/>
      <c r="M121" s="14"/>
      <c r="N121" s="14"/>
      <c r="O121" s="14"/>
      <c r="P121" s="14"/>
      <c r="Q121" s="14"/>
      <c r="R121" s="14"/>
      <c r="S121" s="14"/>
      <c r="T121" s="14"/>
      <c r="U121" s="16"/>
      <c r="V121" s="16"/>
      <c r="W121" s="16"/>
      <c r="X121" s="16" t="str">
        <f t="shared" si="34"/>
        <v/>
      </c>
    </row>
    <row r="122" ht="15.75" customHeight="1">
      <c r="A122" s="14">
        <v>3.0</v>
      </c>
      <c r="B122" s="16"/>
      <c r="C122" s="16"/>
      <c r="D122" s="16"/>
      <c r="E122" s="21"/>
      <c r="F122" s="21"/>
      <c r="G122" s="21"/>
      <c r="H122" s="21"/>
      <c r="I122" s="21"/>
      <c r="J122" s="21"/>
      <c r="K122" s="21"/>
      <c r="L122" s="14"/>
      <c r="M122" s="14"/>
      <c r="N122" s="14"/>
      <c r="O122" s="14"/>
      <c r="P122" s="14"/>
      <c r="Q122" s="14"/>
      <c r="R122" s="14"/>
      <c r="S122" s="14"/>
      <c r="T122" s="14"/>
      <c r="U122" s="16"/>
      <c r="V122" s="16"/>
      <c r="W122" s="16"/>
      <c r="X122" s="16" t="str">
        <f t="shared" si="34"/>
        <v/>
      </c>
    </row>
    <row r="123" ht="15.75" customHeight="1">
      <c r="A123" s="14">
        <v>4.0</v>
      </c>
      <c r="B123" s="16"/>
      <c r="C123" s="16"/>
      <c r="D123" s="16"/>
      <c r="E123" s="21"/>
      <c r="F123" s="21"/>
      <c r="G123" s="21"/>
      <c r="H123" s="21"/>
      <c r="I123" s="21"/>
      <c r="J123" s="21"/>
      <c r="K123" s="21"/>
      <c r="L123" s="14"/>
      <c r="M123" s="14"/>
      <c r="N123" s="14"/>
      <c r="O123" s="14"/>
      <c r="P123" s="14"/>
      <c r="Q123" s="14"/>
      <c r="R123" s="14"/>
      <c r="S123" s="14"/>
      <c r="T123" s="14"/>
      <c r="U123" s="16"/>
      <c r="V123" s="16"/>
      <c r="W123" s="16"/>
      <c r="X123" s="16" t="str">
        <f t="shared" si="34"/>
        <v/>
      </c>
    </row>
    <row r="124" ht="15.75" customHeight="1">
      <c r="A124" s="14">
        <v>5.0</v>
      </c>
      <c r="B124" s="16"/>
      <c r="C124" s="16"/>
      <c r="D124" s="16"/>
      <c r="E124" s="21"/>
      <c r="F124" s="21"/>
      <c r="G124" s="21"/>
      <c r="H124" s="21"/>
      <c r="I124" s="21"/>
      <c r="J124" s="21"/>
      <c r="K124" s="21"/>
      <c r="L124" s="14"/>
      <c r="M124" s="14"/>
      <c r="N124" s="14"/>
      <c r="O124" s="14"/>
      <c r="P124" s="14"/>
      <c r="Q124" s="14"/>
      <c r="R124" s="14"/>
      <c r="S124" s="14"/>
      <c r="T124" s="14"/>
      <c r="U124" s="16"/>
      <c r="V124" s="16"/>
      <c r="W124" s="16"/>
      <c r="X124" s="16" t="str">
        <f t="shared" si="34"/>
        <v/>
      </c>
    </row>
    <row r="125" ht="15.75" customHeight="1">
      <c r="A125" s="12" t="s">
        <v>164</v>
      </c>
      <c r="B125" s="13" t="s">
        <v>165</v>
      </c>
      <c r="C125" s="13"/>
      <c r="D125" s="13"/>
      <c r="E125" s="19">
        <f t="shared" ref="E125:K125" si="35">SUM(E126:E130)</f>
        <v>0</v>
      </c>
      <c r="F125" s="19">
        <f t="shared" si="35"/>
        <v>0</v>
      </c>
      <c r="G125" s="19">
        <f t="shared" si="35"/>
        <v>0</v>
      </c>
      <c r="H125" s="19">
        <f t="shared" si="35"/>
        <v>0</v>
      </c>
      <c r="I125" s="19">
        <f t="shared" si="35"/>
        <v>0</v>
      </c>
      <c r="J125" s="19">
        <f t="shared" si="35"/>
        <v>0</v>
      </c>
      <c r="K125" s="19">
        <f t="shared" si="35"/>
        <v>0</v>
      </c>
      <c r="L125" s="19">
        <f>SUMIF(L126:L130,"x",F126:F130)</f>
        <v>0</v>
      </c>
      <c r="M125" s="19">
        <f>SUMIF(M126:M130,"x",F126:F130)</f>
        <v>0</v>
      </c>
      <c r="N125" s="19">
        <f>SUMIF(N126:N130,"x",F126:F130)</f>
        <v>0</v>
      </c>
      <c r="O125" s="19">
        <f>SUMIF(O126:O130,"x",F126:F130)</f>
        <v>0</v>
      </c>
      <c r="P125" s="19">
        <f>SUMIF(P126:P130,"x",F126:F130)</f>
        <v>0</v>
      </c>
      <c r="Q125" s="19">
        <f>SUMIF(Q126:Q130,"x",F126:F130)</f>
        <v>0</v>
      </c>
      <c r="R125" s="19">
        <f>SUMIF(R126:R130,"x",F126:F130)</f>
        <v>0</v>
      </c>
      <c r="S125" s="19">
        <f>SUMIF(S126:S130,"x",F126:F130)</f>
        <v>0</v>
      </c>
      <c r="T125" s="19">
        <f>SUMIF(T126:T130,"x",F126:F130)</f>
        <v>0</v>
      </c>
      <c r="U125" s="13"/>
      <c r="V125" s="13"/>
      <c r="W125" s="13"/>
      <c r="X125" s="13"/>
    </row>
    <row r="126" ht="15.75" customHeight="1">
      <c r="A126" s="14">
        <v>1.0</v>
      </c>
      <c r="B126" s="16"/>
      <c r="C126" s="16"/>
      <c r="D126" s="16"/>
      <c r="E126" s="21"/>
      <c r="F126" s="21"/>
      <c r="G126" s="21"/>
      <c r="H126" s="21"/>
      <c r="I126" s="21"/>
      <c r="J126" s="21"/>
      <c r="K126" s="21"/>
      <c r="L126" s="14"/>
      <c r="M126" s="14"/>
      <c r="N126" s="14"/>
      <c r="O126" s="14"/>
      <c r="P126" s="14"/>
      <c r="Q126" s="14"/>
      <c r="R126" s="14"/>
      <c r="S126" s="14"/>
      <c r="T126" s="14"/>
      <c r="U126" s="16"/>
      <c r="V126" s="16"/>
      <c r="W126" s="16"/>
      <c r="X126" s="16" t="str">
        <f t="shared" ref="X126:X130" si="36">IF(COUNTA(B126:W126)=0,"",IF(AND(SUM(G126:K126)=F126,COUNTIF(L126:N126,"x")=1,COUNTIF(O126:Q126,"x")=1,COUNTIF(R126:T126,"x")=1),"OK","Lệch: kiểm tra (6)-(20)"))</f>
        <v/>
      </c>
    </row>
    <row r="127" ht="15.75" customHeight="1">
      <c r="A127" s="14">
        <v>2.0</v>
      </c>
      <c r="B127" s="16"/>
      <c r="C127" s="16"/>
      <c r="D127" s="16"/>
      <c r="E127" s="21"/>
      <c r="F127" s="21"/>
      <c r="G127" s="21"/>
      <c r="H127" s="21"/>
      <c r="I127" s="21"/>
      <c r="J127" s="21"/>
      <c r="K127" s="21"/>
      <c r="L127" s="14"/>
      <c r="M127" s="14"/>
      <c r="N127" s="14"/>
      <c r="O127" s="14"/>
      <c r="P127" s="14"/>
      <c r="Q127" s="14"/>
      <c r="R127" s="14"/>
      <c r="S127" s="14"/>
      <c r="T127" s="14"/>
      <c r="U127" s="16"/>
      <c r="V127" s="16"/>
      <c r="W127" s="16"/>
      <c r="X127" s="16" t="str">
        <f t="shared" si="36"/>
        <v/>
      </c>
    </row>
    <row r="128" ht="15.75" customHeight="1">
      <c r="A128" s="14">
        <v>3.0</v>
      </c>
      <c r="B128" s="16"/>
      <c r="C128" s="16"/>
      <c r="D128" s="16"/>
      <c r="E128" s="21"/>
      <c r="F128" s="21"/>
      <c r="G128" s="21"/>
      <c r="H128" s="21"/>
      <c r="I128" s="21"/>
      <c r="J128" s="21"/>
      <c r="K128" s="21"/>
      <c r="L128" s="14"/>
      <c r="M128" s="14"/>
      <c r="N128" s="14"/>
      <c r="O128" s="14"/>
      <c r="P128" s="14"/>
      <c r="Q128" s="14"/>
      <c r="R128" s="14"/>
      <c r="S128" s="14"/>
      <c r="T128" s="14"/>
      <c r="U128" s="16"/>
      <c r="V128" s="16"/>
      <c r="W128" s="16"/>
      <c r="X128" s="16" t="str">
        <f t="shared" si="36"/>
        <v/>
      </c>
    </row>
    <row r="129" ht="15.75" customHeight="1">
      <c r="A129" s="14">
        <v>4.0</v>
      </c>
      <c r="B129" s="16"/>
      <c r="C129" s="16"/>
      <c r="D129" s="16"/>
      <c r="E129" s="21"/>
      <c r="F129" s="21"/>
      <c r="G129" s="21"/>
      <c r="H129" s="21"/>
      <c r="I129" s="21"/>
      <c r="J129" s="21"/>
      <c r="K129" s="21"/>
      <c r="L129" s="14"/>
      <c r="M129" s="14"/>
      <c r="N129" s="14"/>
      <c r="O129" s="14"/>
      <c r="P129" s="14"/>
      <c r="Q129" s="14"/>
      <c r="R129" s="14"/>
      <c r="S129" s="14"/>
      <c r="T129" s="14"/>
      <c r="U129" s="16"/>
      <c r="V129" s="16"/>
      <c r="W129" s="16"/>
      <c r="X129" s="16" t="str">
        <f t="shared" si="36"/>
        <v/>
      </c>
    </row>
    <row r="130" ht="15.75" customHeight="1">
      <c r="A130" s="14">
        <v>5.0</v>
      </c>
      <c r="B130" s="16"/>
      <c r="C130" s="16"/>
      <c r="D130" s="16"/>
      <c r="E130" s="21"/>
      <c r="F130" s="21"/>
      <c r="G130" s="21"/>
      <c r="H130" s="21"/>
      <c r="I130" s="21"/>
      <c r="J130" s="21"/>
      <c r="K130" s="21"/>
      <c r="L130" s="14"/>
      <c r="M130" s="14"/>
      <c r="N130" s="14"/>
      <c r="O130" s="14"/>
      <c r="P130" s="14"/>
      <c r="Q130" s="14"/>
      <c r="R130" s="14"/>
      <c r="S130" s="14"/>
      <c r="T130" s="14"/>
      <c r="U130" s="16"/>
      <c r="V130" s="16"/>
      <c r="W130" s="16"/>
      <c r="X130" s="16" t="str">
        <f t="shared" si="36"/>
        <v/>
      </c>
    </row>
    <row r="131" ht="15.75" customHeight="1">
      <c r="A131" s="12" t="s">
        <v>166</v>
      </c>
      <c r="B131" s="13" t="s">
        <v>167</v>
      </c>
      <c r="C131" s="13"/>
      <c r="D131" s="13"/>
      <c r="E131" s="19">
        <f t="shared" ref="E131:K131" si="37">SUM(E132:E136)</f>
        <v>0</v>
      </c>
      <c r="F131" s="19">
        <f t="shared" si="37"/>
        <v>0</v>
      </c>
      <c r="G131" s="19">
        <f t="shared" si="37"/>
        <v>0</v>
      </c>
      <c r="H131" s="19">
        <f t="shared" si="37"/>
        <v>0</v>
      </c>
      <c r="I131" s="19">
        <f t="shared" si="37"/>
        <v>0</v>
      </c>
      <c r="J131" s="19">
        <f t="shared" si="37"/>
        <v>0</v>
      </c>
      <c r="K131" s="19">
        <f t="shared" si="37"/>
        <v>0</v>
      </c>
      <c r="L131" s="19">
        <f>SUMIF(L132:L136,"x",F132:F136)</f>
        <v>0</v>
      </c>
      <c r="M131" s="19">
        <f>SUMIF(M132:M136,"x",F132:F136)</f>
        <v>0</v>
      </c>
      <c r="N131" s="19">
        <f>SUMIF(N132:N136,"x",F132:F136)</f>
        <v>0</v>
      </c>
      <c r="O131" s="19">
        <f>SUMIF(O132:O136,"x",F132:F136)</f>
        <v>0</v>
      </c>
      <c r="P131" s="19">
        <f>SUMIF(P132:P136,"x",F132:F136)</f>
        <v>0</v>
      </c>
      <c r="Q131" s="19">
        <f>SUMIF(Q132:Q136,"x",F132:F136)</f>
        <v>0</v>
      </c>
      <c r="R131" s="19">
        <f>SUMIF(R132:R136,"x",F132:F136)</f>
        <v>0</v>
      </c>
      <c r="S131" s="19">
        <f>SUMIF(S132:S136,"x",F132:F136)</f>
        <v>0</v>
      </c>
      <c r="T131" s="19">
        <f>SUMIF(T132:T136,"x",F132:F136)</f>
        <v>0</v>
      </c>
      <c r="U131" s="13"/>
      <c r="V131" s="13"/>
      <c r="W131" s="13"/>
      <c r="X131" s="13"/>
    </row>
    <row r="132" ht="15.75" customHeight="1">
      <c r="A132" s="14">
        <v>1.0</v>
      </c>
      <c r="B132" s="16"/>
      <c r="C132" s="16"/>
      <c r="D132" s="16"/>
      <c r="E132" s="21"/>
      <c r="F132" s="21"/>
      <c r="G132" s="21"/>
      <c r="H132" s="21"/>
      <c r="I132" s="21"/>
      <c r="J132" s="21"/>
      <c r="K132" s="21"/>
      <c r="L132" s="14"/>
      <c r="M132" s="14"/>
      <c r="N132" s="14"/>
      <c r="O132" s="14"/>
      <c r="P132" s="14"/>
      <c r="Q132" s="14"/>
      <c r="R132" s="14"/>
      <c r="S132" s="14"/>
      <c r="T132" s="14"/>
      <c r="U132" s="16"/>
      <c r="V132" s="16"/>
      <c r="W132" s="16"/>
      <c r="X132" s="16" t="str">
        <f t="shared" ref="X132:X136" si="38">IF(COUNTA(B132:W132)=0,"",IF(AND(SUM(G132:K132)=F132,COUNTIF(L132:N132,"x")=1,COUNTIF(O132:Q132,"x")=1,COUNTIF(R132:T132,"x")=1),"OK","Lệch: kiểm tra (6)-(20)"))</f>
        <v/>
      </c>
    </row>
    <row r="133" ht="15.75" customHeight="1">
      <c r="A133" s="14">
        <v>2.0</v>
      </c>
      <c r="B133" s="16"/>
      <c r="C133" s="16"/>
      <c r="D133" s="16"/>
      <c r="E133" s="21"/>
      <c r="F133" s="21"/>
      <c r="G133" s="21"/>
      <c r="H133" s="21"/>
      <c r="I133" s="21"/>
      <c r="J133" s="21"/>
      <c r="K133" s="21"/>
      <c r="L133" s="14"/>
      <c r="M133" s="14"/>
      <c r="N133" s="14"/>
      <c r="O133" s="14"/>
      <c r="P133" s="14"/>
      <c r="Q133" s="14"/>
      <c r="R133" s="14"/>
      <c r="S133" s="14"/>
      <c r="T133" s="14"/>
      <c r="U133" s="16"/>
      <c r="V133" s="16"/>
      <c r="W133" s="16"/>
      <c r="X133" s="16" t="str">
        <f t="shared" si="38"/>
        <v/>
      </c>
    </row>
    <row r="134" ht="15.75" customHeight="1">
      <c r="A134" s="14">
        <v>3.0</v>
      </c>
      <c r="B134" s="16"/>
      <c r="C134" s="16"/>
      <c r="D134" s="16"/>
      <c r="E134" s="21"/>
      <c r="F134" s="21"/>
      <c r="G134" s="21"/>
      <c r="H134" s="21"/>
      <c r="I134" s="21"/>
      <c r="J134" s="21"/>
      <c r="K134" s="21"/>
      <c r="L134" s="14"/>
      <c r="M134" s="14"/>
      <c r="N134" s="14"/>
      <c r="O134" s="14"/>
      <c r="P134" s="14"/>
      <c r="Q134" s="14"/>
      <c r="R134" s="14"/>
      <c r="S134" s="14"/>
      <c r="T134" s="14"/>
      <c r="U134" s="16"/>
      <c r="V134" s="16"/>
      <c r="W134" s="16"/>
      <c r="X134" s="16" t="str">
        <f t="shared" si="38"/>
        <v/>
      </c>
    </row>
    <row r="135" ht="15.75" customHeight="1">
      <c r="A135" s="14">
        <v>4.0</v>
      </c>
      <c r="B135" s="16"/>
      <c r="C135" s="16"/>
      <c r="D135" s="16"/>
      <c r="E135" s="21"/>
      <c r="F135" s="21"/>
      <c r="G135" s="21"/>
      <c r="H135" s="21"/>
      <c r="I135" s="21"/>
      <c r="J135" s="21"/>
      <c r="K135" s="21"/>
      <c r="L135" s="14"/>
      <c r="M135" s="14"/>
      <c r="N135" s="14"/>
      <c r="O135" s="14"/>
      <c r="P135" s="14"/>
      <c r="Q135" s="14"/>
      <c r="R135" s="14"/>
      <c r="S135" s="14"/>
      <c r="T135" s="14"/>
      <c r="U135" s="16"/>
      <c r="V135" s="16"/>
      <c r="W135" s="16"/>
      <c r="X135" s="16" t="str">
        <f t="shared" si="38"/>
        <v/>
      </c>
    </row>
    <row r="136" ht="15.75" customHeight="1">
      <c r="A136" s="14">
        <v>5.0</v>
      </c>
      <c r="B136" s="16"/>
      <c r="C136" s="16"/>
      <c r="D136" s="16"/>
      <c r="E136" s="21"/>
      <c r="F136" s="21"/>
      <c r="G136" s="21"/>
      <c r="H136" s="21"/>
      <c r="I136" s="21"/>
      <c r="J136" s="21"/>
      <c r="K136" s="21"/>
      <c r="L136" s="14"/>
      <c r="M136" s="14"/>
      <c r="N136" s="14"/>
      <c r="O136" s="14"/>
      <c r="P136" s="14"/>
      <c r="Q136" s="14"/>
      <c r="R136" s="14"/>
      <c r="S136" s="14"/>
      <c r="T136" s="14"/>
      <c r="U136" s="16"/>
      <c r="V136" s="16"/>
      <c r="W136" s="16"/>
      <c r="X136" s="16" t="str">
        <f t="shared" si="38"/>
        <v/>
      </c>
    </row>
    <row r="137" ht="15.75" customHeight="1">
      <c r="A137" s="12" t="s">
        <v>168</v>
      </c>
      <c r="B137" s="13" t="s">
        <v>169</v>
      </c>
      <c r="C137" s="13"/>
      <c r="D137" s="13"/>
      <c r="E137" s="19">
        <f t="shared" ref="E137:K137" si="39">SUM(E138:E142)</f>
        <v>0</v>
      </c>
      <c r="F137" s="19">
        <f t="shared" si="39"/>
        <v>0</v>
      </c>
      <c r="G137" s="19">
        <f t="shared" si="39"/>
        <v>0</v>
      </c>
      <c r="H137" s="19">
        <f t="shared" si="39"/>
        <v>0</v>
      </c>
      <c r="I137" s="19">
        <f t="shared" si="39"/>
        <v>0</v>
      </c>
      <c r="J137" s="19">
        <f t="shared" si="39"/>
        <v>0</v>
      </c>
      <c r="K137" s="19">
        <f t="shared" si="39"/>
        <v>0</v>
      </c>
      <c r="L137" s="19">
        <f>SUMIF(L138:L142,"x",F138:F142)</f>
        <v>0</v>
      </c>
      <c r="M137" s="19">
        <f>SUMIF(M138:M142,"x",F138:F142)</f>
        <v>0</v>
      </c>
      <c r="N137" s="19">
        <f>SUMIF(N138:N142,"x",F138:F142)</f>
        <v>0</v>
      </c>
      <c r="O137" s="19">
        <f>SUMIF(O138:O142,"x",F138:F142)</f>
        <v>0</v>
      </c>
      <c r="P137" s="19">
        <f>SUMIF(P138:P142,"x",F138:F142)</f>
        <v>0</v>
      </c>
      <c r="Q137" s="19">
        <f>SUMIF(Q138:Q142,"x",F138:F142)</f>
        <v>0</v>
      </c>
      <c r="R137" s="19">
        <f>SUMIF(R138:R142,"x",F138:F142)</f>
        <v>0</v>
      </c>
      <c r="S137" s="19">
        <f>SUMIF(S138:S142,"x",F138:F142)</f>
        <v>0</v>
      </c>
      <c r="T137" s="19">
        <f>SUMIF(T138:T142,"x",F138:F142)</f>
        <v>0</v>
      </c>
      <c r="U137" s="13"/>
      <c r="V137" s="13"/>
      <c r="W137" s="13"/>
      <c r="X137" s="13"/>
    </row>
    <row r="138" ht="15.75" customHeight="1">
      <c r="A138" s="14">
        <v>1.0</v>
      </c>
      <c r="B138" s="16"/>
      <c r="C138" s="16"/>
      <c r="D138" s="16"/>
      <c r="E138" s="21"/>
      <c r="F138" s="21"/>
      <c r="G138" s="21"/>
      <c r="H138" s="21"/>
      <c r="I138" s="21"/>
      <c r="J138" s="21"/>
      <c r="K138" s="21"/>
      <c r="L138" s="14"/>
      <c r="M138" s="14"/>
      <c r="N138" s="14"/>
      <c r="O138" s="14"/>
      <c r="P138" s="14"/>
      <c r="Q138" s="14"/>
      <c r="R138" s="14"/>
      <c r="S138" s="14"/>
      <c r="T138" s="14"/>
      <c r="U138" s="16"/>
      <c r="V138" s="16"/>
      <c r="W138" s="16"/>
      <c r="X138" s="16" t="str">
        <f t="shared" ref="X138:X142" si="40">IF(COUNTA(B138:W138)=0,"",IF(AND(SUM(G138:K138)=F138,COUNTIF(L138:N138,"x")=1,COUNTIF(O138:Q138,"x")=1,COUNTIF(R138:T138,"x")=1),"OK","Lệch: kiểm tra (6)-(20)"))</f>
        <v/>
      </c>
    </row>
    <row r="139" ht="15.75" customHeight="1">
      <c r="A139" s="14">
        <v>2.0</v>
      </c>
      <c r="B139" s="16"/>
      <c r="C139" s="16"/>
      <c r="D139" s="16"/>
      <c r="E139" s="21"/>
      <c r="F139" s="21"/>
      <c r="G139" s="21"/>
      <c r="H139" s="21"/>
      <c r="I139" s="21"/>
      <c r="J139" s="21"/>
      <c r="K139" s="21"/>
      <c r="L139" s="14"/>
      <c r="M139" s="14"/>
      <c r="N139" s="14"/>
      <c r="O139" s="14"/>
      <c r="P139" s="14"/>
      <c r="Q139" s="14"/>
      <c r="R139" s="14"/>
      <c r="S139" s="14"/>
      <c r="T139" s="14"/>
      <c r="U139" s="16"/>
      <c r="V139" s="16"/>
      <c r="W139" s="16"/>
      <c r="X139" s="16" t="str">
        <f t="shared" si="40"/>
        <v/>
      </c>
    </row>
    <row r="140" ht="15.75" customHeight="1">
      <c r="A140" s="14">
        <v>3.0</v>
      </c>
      <c r="B140" s="16"/>
      <c r="C140" s="16"/>
      <c r="D140" s="16"/>
      <c r="E140" s="21"/>
      <c r="F140" s="21"/>
      <c r="G140" s="21"/>
      <c r="H140" s="21"/>
      <c r="I140" s="21"/>
      <c r="J140" s="21"/>
      <c r="K140" s="21"/>
      <c r="L140" s="14"/>
      <c r="M140" s="14"/>
      <c r="N140" s="14"/>
      <c r="O140" s="14"/>
      <c r="P140" s="14"/>
      <c r="Q140" s="14"/>
      <c r="R140" s="14"/>
      <c r="S140" s="14"/>
      <c r="T140" s="14"/>
      <c r="U140" s="16"/>
      <c r="V140" s="16"/>
      <c r="W140" s="16"/>
      <c r="X140" s="16" t="str">
        <f t="shared" si="40"/>
        <v/>
      </c>
    </row>
    <row r="141" ht="15.75" customHeight="1">
      <c r="A141" s="14">
        <v>4.0</v>
      </c>
      <c r="B141" s="16"/>
      <c r="C141" s="16"/>
      <c r="D141" s="16"/>
      <c r="E141" s="21"/>
      <c r="F141" s="21"/>
      <c r="G141" s="21"/>
      <c r="H141" s="21"/>
      <c r="I141" s="21"/>
      <c r="J141" s="21"/>
      <c r="K141" s="21"/>
      <c r="L141" s="14"/>
      <c r="M141" s="14"/>
      <c r="N141" s="14"/>
      <c r="O141" s="14"/>
      <c r="P141" s="14"/>
      <c r="Q141" s="14"/>
      <c r="R141" s="14"/>
      <c r="S141" s="14"/>
      <c r="T141" s="14"/>
      <c r="U141" s="16"/>
      <c r="V141" s="16"/>
      <c r="W141" s="16"/>
      <c r="X141" s="16" t="str">
        <f t="shared" si="40"/>
        <v/>
      </c>
    </row>
    <row r="142" ht="15.75" customHeight="1">
      <c r="A142" s="14">
        <v>5.0</v>
      </c>
      <c r="B142" s="16"/>
      <c r="C142" s="16"/>
      <c r="D142" s="16"/>
      <c r="E142" s="21"/>
      <c r="F142" s="21"/>
      <c r="G142" s="21"/>
      <c r="H142" s="21"/>
      <c r="I142" s="21"/>
      <c r="J142" s="21"/>
      <c r="K142" s="21"/>
      <c r="L142" s="14"/>
      <c r="M142" s="14"/>
      <c r="N142" s="14"/>
      <c r="O142" s="14"/>
      <c r="P142" s="14"/>
      <c r="Q142" s="14"/>
      <c r="R142" s="14"/>
      <c r="S142" s="14"/>
      <c r="T142" s="14"/>
      <c r="U142" s="16"/>
      <c r="V142" s="16"/>
      <c r="W142" s="16"/>
      <c r="X142" s="16" t="str">
        <f t="shared" si="40"/>
        <v/>
      </c>
    </row>
    <row r="143" ht="15.75" customHeight="1"/>
    <row r="144" ht="15.0" customHeight="1">
      <c r="P144" s="3"/>
    </row>
    <row r="145" ht="15.0" customHeight="1">
      <c r="A145" s="1"/>
      <c r="P145" s="1"/>
    </row>
    <row r="146" ht="15.0" customHeight="1">
      <c r="A146" s="22"/>
      <c r="P146" s="22"/>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W1"/>
    <mergeCell ref="A2:W2"/>
    <mergeCell ref="A3:W3"/>
    <mergeCell ref="A4:W4"/>
    <mergeCell ref="A5:W5"/>
    <mergeCell ref="A6:W6"/>
    <mergeCell ref="A7:W7"/>
    <mergeCell ref="A8:W8"/>
    <mergeCell ref="A9:W9"/>
    <mergeCell ref="A10:W10"/>
    <mergeCell ref="A11:W11"/>
    <mergeCell ref="A12:W12"/>
    <mergeCell ref="A13:W13"/>
    <mergeCell ref="A14:W14"/>
    <mergeCell ref="D20:D21"/>
    <mergeCell ref="E20:E21"/>
    <mergeCell ref="A145:F145"/>
    <mergeCell ref="A146:F146"/>
    <mergeCell ref="F20:F21"/>
    <mergeCell ref="G20:K20"/>
    <mergeCell ref="L20:N20"/>
    <mergeCell ref="O20:Q20"/>
    <mergeCell ref="R20:T20"/>
    <mergeCell ref="U20:U21"/>
    <mergeCell ref="P144:W144"/>
    <mergeCell ref="P145:W145"/>
    <mergeCell ref="P146:W146"/>
    <mergeCell ref="V20:V21"/>
    <mergeCell ref="W20:W21"/>
    <mergeCell ref="X20:X21"/>
    <mergeCell ref="A15:W15"/>
    <mergeCell ref="A16:W16"/>
    <mergeCell ref="A17:W17"/>
    <mergeCell ref="A18:W18"/>
    <mergeCell ref="A20:A21"/>
    <mergeCell ref="B20:B21"/>
    <mergeCell ref="C20:C21"/>
  </mergeCells>
  <dataValidations>
    <dataValidation type="list" allowBlank="1" showInputMessage="1" showErrorMessage="1" prompt="Chọn 1 lĩnh vực" sqref="D24:D28 D30:D34 D36:D40 D42:D46 D48:D52 D54:D58 D60:D64 D66:D70 D72:D76 D78:D82 D84:D88 D90:D94 D96:D100 D102:D106 D108:D112 D114:D118 D120:D124 D126:D130 D132:D136 D138:D142">
      <formula1>"Trí tuệ nhân tạo (AI),Bán dẫn,Dữ liệu,An ninh mạng,Công nghệ chiến lược khác"</formula1>
    </dataValidation>
    <dataValidation type="list" allowBlank="1" showInputMessage="1" showErrorMessage="1" prompt="Ghi &quot;x&quot; vào 1 ô trong mỗi nhóm cột" sqref="L24:T28 L30:T34 L36:T40 L42:T46 L48:T52 L54:T58 L60:T64 L66:T70 L72:T76 L78:T82 L84:T88 L90:T94 L96:T100 L102:T106 L108:T112 L114:T118 L120:T124 L126:T130 L132:T136 L138:T142">
      <formula1>"x"</formula1>
    </dataValidation>
    <dataValidation type="decimal" operator="greaterThanOrEqual" allowBlank="1" showInputMessage="1" showErrorMessage="1" prompt="Nhập số nguyên ≥ 0." sqref="E24:K28 E30:K34 E36:K40 E42:K46 E48:K52 E54:K58 E60:K64 E66:K70 E72:K76 E78:K82 E84:K88 E90:K94 E96:K100 E102:K106 E108:K112 E114:K118 E120:K124 E126:K130 E132:K136 E138:K142">
      <formula1>0.0</formula1>
    </dataValidation>
  </dataValidations>
  <printOptions/>
  <pageMargins bottom="0.5" footer="0.0" header="0.0" left="0.4" right="0.4" top="0.5"/>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30.0"/>
    <col customWidth="1" min="3" max="3" width="16.0"/>
    <col customWidth="1" min="4" max="4" width="9.0"/>
    <col customWidth="1" min="5" max="5" width="30.0"/>
    <col customWidth="1" min="6" max="6" width="24.0"/>
    <col customWidth="1" min="7" max="7" width="18.0"/>
    <col customWidth="1" min="8" max="8" width="10.0"/>
    <col customWidth="1" min="9" max="9" width="12.0"/>
    <col customWidth="1" min="10" max="10" width="18.0"/>
    <col customWidth="1" min="11" max="11" width="26.0"/>
    <col customWidth="1" min="12" max="12" width="14.0"/>
    <col customWidth="1" min="13" max="13" width="18.43"/>
    <col customWidth="1" min="14" max="26" width="8.71"/>
  </cols>
  <sheetData>
    <row r="1" ht="15.0" customHeight="1">
      <c r="A1" s="1" t="s">
        <v>3</v>
      </c>
    </row>
    <row r="2" ht="36.0" customHeight="1">
      <c r="A2" s="2" t="s">
        <v>7</v>
      </c>
    </row>
    <row r="3" ht="15.0" customHeight="1">
      <c r="A3" s="3" t="s">
        <v>5</v>
      </c>
    </row>
    <row r="4" ht="15.0" customHeight="1">
      <c r="A4" s="4" t="s">
        <v>9</v>
      </c>
    </row>
    <row r="5">
      <c r="A5" s="5"/>
    </row>
    <row r="6">
      <c r="A6" s="6" t="s">
        <v>10</v>
      </c>
    </row>
    <row r="7" ht="15.0" customHeight="1">
      <c r="A7" s="1" t="s">
        <v>14</v>
      </c>
    </row>
    <row r="8">
      <c r="A8" s="7" t="s">
        <v>11</v>
      </c>
    </row>
    <row r="9" ht="18.0" customHeight="1">
      <c r="A9" s="8" t="s">
        <v>19</v>
      </c>
    </row>
    <row r="10" ht="48.0" customHeight="1">
      <c r="A10" s="8" t="s">
        <v>24</v>
      </c>
    </row>
    <row r="11" ht="33.0" customHeight="1">
      <c r="A11" s="8" t="s">
        <v>26</v>
      </c>
    </row>
    <row r="12" ht="33.0" customHeight="1">
      <c r="A12" s="8" t="s">
        <v>28</v>
      </c>
    </row>
    <row r="14" ht="48.0" customHeight="1">
      <c r="A14" s="9" t="s">
        <v>22</v>
      </c>
      <c r="B14" s="9" t="s">
        <v>40</v>
      </c>
      <c r="C14" s="9" t="s">
        <v>44</v>
      </c>
      <c r="D14" s="9" t="s">
        <v>49</v>
      </c>
      <c r="E14" s="9" t="s">
        <v>53</v>
      </c>
      <c r="F14" s="9" t="s">
        <v>56</v>
      </c>
      <c r="G14" s="9" t="s">
        <v>57</v>
      </c>
      <c r="H14" s="9" t="s">
        <v>59</v>
      </c>
      <c r="I14" s="9" t="s">
        <v>64</v>
      </c>
      <c r="J14" s="9" t="s">
        <v>72</v>
      </c>
      <c r="K14" s="9" t="s">
        <v>75</v>
      </c>
      <c r="L14" s="9" t="s">
        <v>48</v>
      </c>
      <c r="M14" s="9" t="s">
        <v>50</v>
      </c>
    </row>
    <row r="15" ht="79.5" customHeight="1">
      <c r="A15" s="10"/>
      <c r="B15" s="10"/>
      <c r="C15" s="10"/>
      <c r="D15" s="10"/>
      <c r="E15" s="10"/>
      <c r="F15" s="10"/>
      <c r="G15" s="10"/>
      <c r="H15" s="10"/>
      <c r="I15" s="10"/>
      <c r="J15" s="10"/>
      <c r="K15" s="10"/>
      <c r="L15" s="10"/>
      <c r="M15" s="10"/>
    </row>
    <row r="16">
      <c r="A16" s="11" t="s">
        <v>58</v>
      </c>
      <c r="B16" s="11" t="s">
        <v>61</v>
      </c>
      <c r="C16" s="11" t="s">
        <v>62</v>
      </c>
      <c r="D16" s="11" t="s">
        <v>63</v>
      </c>
      <c r="E16" s="11" t="s">
        <v>66</v>
      </c>
      <c r="F16" s="11" t="s">
        <v>67</v>
      </c>
      <c r="G16" s="11" t="s">
        <v>68</v>
      </c>
      <c r="H16" s="11" t="s">
        <v>70</v>
      </c>
      <c r="I16" s="11" t="s">
        <v>71</v>
      </c>
      <c r="J16" s="11" t="s">
        <v>85</v>
      </c>
      <c r="K16" s="11" t="s">
        <v>86</v>
      </c>
      <c r="L16" s="11" t="s">
        <v>87</v>
      </c>
      <c r="M16" s="11"/>
    </row>
    <row r="17">
      <c r="A17" s="12" t="s">
        <v>73</v>
      </c>
      <c r="B17" s="13" t="s">
        <v>76</v>
      </c>
      <c r="C17" s="13"/>
      <c r="D17" s="19">
        <f>SUM(D18:D22)</f>
        <v>0</v>
      </c>
      <c r="E17" s="13"/>
      <c r="F17" s="13"/>
      <c r="G17" s="13"/>
      <c r="H17" s="13"/>
      <c r="I17" s="13"/>
      <c r="J17" s="13"/>
      <c r="K17" s="13"/>
      <c r="L17" s="13"/>
      <c r="M17" s="13"/>
    </row>
    <row r="18">
      <c r="A18" s="14">
        <v>1.0</v>
      </c>
      <c r="B18" s="16"/>
      <c r="C18" s="16"/>
      <c r="D18" s="14"/>
      <c r="E18" s="16"/>
      <c r="F18" s="16"/>
      <c r="G18" s="16"/>
      <c r="H18" s="16"/>
      <c r="I18" s="16"/>
      <c r="J18" s="16"/>
      <c r="K18" s="16"/>
      <c r="L18" s="16"/>
      <c r="M18" s="16"/>
    </row>
    <row r="19">
      <c r="A19" s="14">
        <v>2.0</v>
      </c>
      <c r="B19" s="16"/>
      <c r="C19" s="16"/>
      <c r="D19" s="14"/>
      <c r="E19" s="16"/>
      <c r="F19" s="16"/>
      <c r="G19" s="16"/>
      <c r="H19" s="16"/>
      <c r="I19" s="16"/>
      <c r="J19" s="16"/>
      <c r="K19" s="16"/>
      <c r="L19" s="16"/>
      <c r="M19" s="16"/>
    </row>
    <row r="20">
      <c r="A20" s="14">
        <v>3.0</v>
      </c>
      <c r="B20" s="16"/>
      <c r="C20" s="16"/>
      <c r="D20" s="14"/>
      <c r="E20" s="16"/>
      <c r="F20" s="16"/>
      <c r="G20" s="16"/>
      <c r="H20" s="16"/>
      <c r="I20" s="16"/>
      <c r="J20" s="16"/>
      <c r="K20" s="16"/>
      <c r="L20" s="16"/>
      <c r="M20" s="16"/>
    </row>
    <row r="21" ht="15.75" customHeight="1">
      <c r="A21" s="14">
        <v>4.0</v>
      </c>
      <c r="B21" s="16"/>
      <c r="C21" s="16"/>
      <c r="D21" s="14"/>
      <c r="E21" s="16"/>
      <c r="F21" s="16"/>
      <c r="G21" s="16"/>
      <c r="H21" s="16"/>
      <c r="I21" s="16"/>
      <c r="J21" s="16"/>
      <c r="K21" s="16"/>
      <c r="L21" s="16"/>
      <c r="M21" s="16"/>
    </row>
    <row r="22" ht="15.75" customHeight="1">
      <c r="A22" s="14">
        <v>5.0</v>
      </c>
      <c r="B22" s="16"/>
      <c r="C22" s="16"/>
      <c r="D22" s="14"/>
      <c r="E22" s="16"/>
      <c r="F22" s="16"/>
      <c r="G22" s="16"/>
      <c r="H22" s="16"/>
      <c r="I22" s="16"/>
      <c r="J22" s="16"/>
      <c r="K22" s="16"/>
      <c r="L22" s="16"/>
      <c r="M22" s="16"/>
    </row>
    <row r="23" ht="15.75" customHeight="1">
      <c r="A23" s="12" t="s">
        <v>96</v>
      </c>
      <c r="B23" s="13" t="s">
        <v>97</v>
      </c>
      <c r="C23" s="13"/>
      <c r="D23" s="19">
        <f>SUM(D24:D28)</f>
        <v>0</v>
      </c>
      <c r="E23" s="13"/>
      <c r="F23" s="13"/>
      <c r="G23" s="13"/>
      <c r="H23" s="13"/>
      <c r="I23" s="13"/>
      <c r="J23" s="13"/>
      <c r="K23" s="13"/>
      <c r="L23" s="13"/>
      <c r="M23" s="13"/>
    </row>
    <row r="24" ht="15.75" customHeight="1">
      <c r="A24" s="14">
        <v>1.0</v>
      </c>
      <c r="B24" s="16"/>
      <c r="C24" s="16"/>
      <c r="D24" s="14"/>
      <c r="E24" s="16"/>
      <c r="F24" s="16"/>
      <c r="G24" s="16"/>
      <c r="H24" s="16"/>
      <c r="I24" s="16"/>
      <c r="J24" s="16"/>
      <c r="K24" s="16"/>
      <c r="L24" s="16"/>
      <c r="M24" s="16"/>
    </row>
    <row r="25" ht="15.75" customHeight="1">
      <c r="A25" s="14">
        <v>2.0</v>
      </c>
      <c r="B25" s="16"/>
      <c r="C25" s="16"/>
      <c r="D25" s="14"/>
      <c r="E25" s="16"/>
      <c r="F25" s="16"/>
      <c r="G25" s="16"/>
      <c r="H25" s="16"/>
      <c r="I25" s="16"/>
      <c r="J25" s="16"/>
      <c r="K25" s="16"/>
      <c r="L25" s="16"/>
      <c r="M25" s="16"/>
    </row>
    <row r="26" ht="15.75" customHeight="1">
      <c r="A26" s="14">
        <v>3.0</v>
      </c>
      <c r="B26" s="16"/>
      <c r="C26" s="16"/>
      <c r="D26" s="14"/>
      <c r="E26" s="16"/>
      <c r="F26" s="16"/>
      <c r="G26" s="16"/>
      <c r="H26" s="16"/>
      <c r="I26" s="16"/>
      <c r="J26" s="16"/>
      <c r="K26" s="16"/>
      <c r="L26" s="16"/>
      <c r="M26" s="16"/>
    </row>
    <row r="27" ht="15.75" customHeight="1">
      <c r="A27" s="14">
        <v>4.0</v>
      </c>
      <c r="B27" s="16"/>
      <c r="C27" s="16"/>
      <c r="D27" s="14"/>
      <c r="E27" s="16"/>
      <c r="F27" s="16"/>
      <c r="G27" s="16"/>
      <c r="H27" s="16"/>
      <c r="I27" s="16"/>
      <c r="J27" s="16"/>
      <c r="K27" s="16"/>
      <c r="L27" s="16"/>
      <c r="M27" s="16"/>
    </row>
    <row r="28" ht="15.75" customHeight="1">
      <c r="A28" s="14">
        <v>5.0</v>
      </c>
      <c r="B28" s="16"/>
      <c r="C28" s="16"/>
      <c r="D28" s="14"/>
      <c r="E28" s="16"/>
      <c r="F28" s="16"/>
      <c r="G28" s="16"/>
      <c r="H28" s="16"/>
      <c r="I28" s="16"/>
      <c r="J28" s="16"/>
      <c r="K28" s="16"/>
      <c r="L28" s="16"/>
      <c r="M28" s="16"/>
    </row>
    <row r="29" ht="15.75" customHeight="1">
      <c r="A29" s="12" t="s">
        <v>127</v>
      </c>
      <c r="B29" s="13" t="s">
        <v>129</v>
      </c>
      <c r="C29" s="13"/>
      <c r="D29" s="19">
        <f>SUM(D30:D34)</f>
        <v>0</v>
      </c>
      <c r="E29" s="13"/>
      <c r="F29" s="13"/>
      <c r="G29" s="13"/>
      <c r="H29" s="13"/>
      <c r="I29" s="13"/>
      <c r="J29" s="13"/>
      <c r="K29" s="13"/>
      <c r="L29" s="13"/>
      <c r="M29" s="13"/>
    </row>
    <row r="30" ht="15.75" customHeight="1">
      <c r="A30" s="14">
        <v>1.0</v>
      </c>
      <c r="B30" s="16"/>
      <c r="C30" s="16"/>
      <c r="D30" s="14"/>
      <c r="E30" s="16"/>
      <c r="F30" s="16"/>
      <c r="G30" s="16"/>
      <c r="H30" s="16"/>
      <c r="I30" s="16"/>
      <c r="J30" s="16"/>
      <c r="K30" s="16"/>
      <c r="L30" s="16"/>
      <c r="M30" s="16"/>
    </row>
    <row r="31" ht="15.75" customHeight="1">
      <c r="A31" s="14">
        <v>2.0</v>
      </c>
      <c r="B31" s="16"/>
      <c r="C31" s="16"/>
      <c r="D31" s="14"/>
      <c r="E31" s="16"/>
      <c r="F31" s="16"/>
      <c r="G31" s="16"/>
      <c r="H31" s="16"/>
      <c r="I31" s="16"/>
      <c r="J31" s="16"/>
      <c r="K31" s="16"/>
      <c r="L31" s="16"/>
      <c r="M31" s="16"/>
    </row>
    <row r="32" ht="15.75" customHeight="1">
      <c r="A32" s="14">
        <v>3.0</v>
      </c>
      <c r="B32" s="16"/>
      <c r="C32" s="16"/>
      <c r="D32" s="14"/>
      <c r="E32" s="16"/>
      <c r="F32" s="16"/>
      <c r="G32" s="16"/>
      <c r="H32" s="16"/>
      <c r="I32" s="16"/>
      <c r="J32" s="16"/>
      <c r="K32" s="16"/>
      <c r="L32" s="16"/>
      <c r="M32" s="16"/>
    </row>
    <row r="33" ht="15.75" customHeight="1">
      <c r="A33" s="14">
        <v>4.0</v>
      </c>
      <c r="B33" s="16"/>
      <c r="C33" s="16"/>
      <c r="D33" s="14"/>
      <c r="E33" s="16"/>
      <c r="F33" s="16"/>
      <c r="G33" s="16"/>
      <c r="H33" s="16"/>
      <c r="I33" s="16"/>
      <c r="J33" s="16"/>
      <c r="K33" s="16"/>
      <c r="L33" s="16"/>
      <c r="M33" s="16"/>
    </row>
    <row r="34" ht="15.75" customHeight="1">
      <c r="A34" s="14">
        <v>5.0</v>
      </c>
      <c r="B34" s="16"/>
      <c r="C34" s="16"/>
      <c r="D34" s="14"/>
      <c r="E34" s="16"/>
      <c r="F34" s="16"/>
      <c r="G34" s="16"/>
      <c r="H34" s="16"/>
      <c r="I34" s="16"/>
      <c r="J34" s="16"/>
      <c r="K34" s="16"/>
      <c r="L34" s="16"/>
      <c r="M34" s="16"/>
    </row>
    <row r="35" ht="15.75" customHeight="1">
      <c r="A35" s="12" t="s">
        <v>136</v>
      </c>
      <c r="B35" s="13" t="s">
        <v>137</v>
      </c>
      <c r="C35" s="13"/>
      <c r="D35" s="19">
        <f>SUM(D36:D40)</f>
        <v>0</v>
      </c>
      <c r="E35" s="13"/>
      <c r="F35" s="13"/>
      <c r="G35" s="13"/>
      <c r="H35" s="13"/>
      <c r="I35" s="13"/>
      <c r="J35" s="13"/>
      <c r="K35" s="13"/>
      <c r="L35" s="13"/>
      <c r="M35" s="13"/>
    </row>
    <row r="36" ht="15.75" customHeight="1">
      <c r="A36" s="14">
        <v>1.0</v>
      </c>
      <c r="B36" s="16"/>
      <c r="C36" s="16"/>
      <c r="D36" s="14"/>
      <c r="E36" s="16"/>
      <c r="F36" s="16"/>
      <c r="G36" s="16"/>
      <c r="H36" s="16"/>
      <c r="I36" s="16"/>
      <c r="J36" s="16"/>
      <c r="K36" s="16"/>
      <c r="L36" s="16"/>
      <c r="M36" s="16"/>
    </row>
    <row r="37" ht="15.75" customHeight="1">
      <c r="A37" s="14">
        <v>2.0</v>
      </c>
      <c r="B37" s="16"/>
      <c r="C37" s="16"/>
      <c r="D37" s="14"/>
      <c r="E37" s="16"/>
      <c r="F37" s="16"/>
      <c r="G37" s="16"/>
      <c r="H37" s="16"/>
      <c r="I37" s="16"/>
      <c r="J37" s="16"/>
      <c r="K37" s="16"/>
      <c r="L37" s="16"/>
      <c r="M37" s="16"/>
    </row>
    <row r="38" ht="15.75" customHeight="1">
      <c r="A38" s="14">
        <v>3.0</v>
      </c>
      <c r="B38" s="16"/>
      <c r="C38" s="16"/>
      <c r="D38" s="14"/>
      <c r="E38" s="16"/>
      <c r="F38" s="16"/>
      <c r="G38" s="16"/>
      <c r="H38" s="16"/>
      <c r="I38" s="16"/>
      <c r="J38" s="16"/>
      <c r="K38" s="16"/>
      <c r="L38" s="16"/>
      <c r="M38" s="16"/>
    </row>
    <row r="39" ht="15.75" customHeight="1">
      <c r="A39" s="14">
        <v>4.0</v>
      </c>
      <c r="B39" s="16"/>
      <c r="C39" s="16"/>
      <c r="D39" s="14"/>
      <c r="E39" s="16"/>
      <c r="F39" s="16"/>
      <c r="G39" s="16"/>
      <c r="H39" s="16"/>
      <c r="I39" s="16"/>
      <c r="J39" s="16"/>
      <c r="K39" s="16"/>
      <c r="L39" s="16"/>
      <c r="M39" s="16"/>
    </row>
    <row r="40" ht="15.75" customHeight="1">
      <c r="A40" s="14">
        <v>5.0</v>
      </c>
      <c r="B40" s="16"/>
      <c r="C40" s="16"/>
      <c r="D40" s="14"/>
      <c r="E40" s="16"/>
      <c r="F40" s="16"/>
      <c r="G40" s="16"/>
      <c r="H40" s="16"/>
      <c r="I40" s="16"/>
      <c r="J40" s="16"/>
      <c r="K40" s="16"/>
      <c r="L40" s="16"/>
      <c r="M40" s="16"/>
    </row>
    <row r="41" ht="15.75" customHeight="1">
      <c r="A41" s="12" t="s">
        <v>138</v>
      </c>
      <c r="B41" s="13" t="s">
        <v>139</v>
      </c>
      <c r="C41" s="13"/>
      <c r="D41" s="19">
        <f>SUM(D42:D46)</f>
        <v>0</v>
      </c>
      <c r="E41" s="13"/>
      <c r="F41" s="13"/>
      <c r="G41" s="13"/>
      <c r="H41" s="13"/>
      <c r="I41" s="13"/>
      <c r="J41" s="13"/>
      <c r="K41" s="13"/>
      <c r="L41" s="13"/>
      <c r="M41" s="13"/>
    </row>
    <row r="42" ht="15.75" customHeight="1">
      <c r="A42" s="14">
        <v>1.0</v>
      </c>
      <c r="B42" s="16"/>
      <c r="C42" s="16"/>
      <c r="D42" s="14"/>
      <c r="E42" s="16"/>
      <c r="F42" s="16"/>
      <c r="G42" s="16"/>
      <c r="H42" s="16"/>
      <c r="I42" s="16"/>
      <c r="J42" s="16"/>
      <c r="K42" s="16"/>
      <c r="L42" s="16"/>
      <c r="M42" s="16"/>
    </row>
    <row r="43" ht="15.75" customHeight="1">
      <c r="A43" s="14">
        <v>2.0</v>
      </c>
      <c r="B43" s="16"/>
      <c r="C43" s="16"/>
      <c r="D43" s="14"/>
      <c r="E43" s="16"/>
      <c r="F43" s="16"/>
      <c r="G43" s="16"/>
      <c r="H43" s="16"/>
      <c r="I43" s="16"/>
      <c r="J43" s="16"/>
      <c r="K43" s="16"/>
      <c r="L43" s="16"/>
      <c r="M43" s="16"/>
    </row>
    <row r="44" ht="15.75" customHeight="1">
      <c r="A44" s="14">
        <v>3.0</v>
      </c>
      <c r="B44" s="16"/>
      <c r="C44" s="16"/>
      <c r="D44" s="14"/>
      <c r="E44" s="16"/>
      <c r="F44" s="16"/>
      <c r="G44" s="16"/>
      <c r="H44" s="16"/>
      <c r="I44" s="16"/>
      <c r="J44" s="16"/>
      <c r="K44" s="16"/>
      <c r="L44" s="16"/>
      <c r="M44" s="16"/>
    </row>
    <row r="45" ht="15.75" customHeight="1">
      <c r="A45" s="14">
        <v>4.0</v>
      </c>
      <c r="B45" s="16"/>
      <c r="C45" s="16"/>
      <c r="D45" s="14"/>
      <c r="E45" s="16"/>
      <c r="F45" s="16"/>
      <c r="G45" s="16"/>
      <c r="H45" s="16"/>
      <c r="I45" s="16"/>
      <c r="J45" s="16"/>
      <c r="K45" s="16"/>
      <c r="L45" s="16"/>
      <c r="M45" s="16"/>
    </row>
    <row r="46" ht="15.75" customHeight="1">
      <c r="A46" s="14">
        <v>5.0</v>
      </c>
      <c r="B46" s="16"/>
      <c r="C46" s="16"/>
      <c r="D46" s="14"/>
      <c r="E46" s="16"/>
      <c r="F46" s="16"/>
      <c r="G46" s="16"/>
      <c r="H46" s="16"/>
      <c r="I46" s="16"/>
      <c r="J46" s="16"/>
      <c r="K46" s="16"/>
      <c r="L46" s="16"/>
      <c r="M46" s="16"/>
    </row>
    <row r="47" ht="15.75" customHeight="1">
      <c r="A47" s="12" t="s">
        <v>140</v>
      </c>
      <c r="B47" s="13" t="s">
        <v>141</v>
      </c>
      <c r="C47" s="13"/>
      <c r="D47" s="19">
        <f>SUM(D48:D52)</f>
        <v>0</v>
      </c>
      <c r="E47" s="13"/>
      <c r="F47" s="13"/>
      <c r="G47" s="13"/>
      <c r="H47" s="13"/>
      <c r="I47" s="13"/>
      <c r="J47" s="13"/>
      <c r="K47" s="13"/>
      <c r="L47" s="13"/>
      <c r="M47" s="13"/>
    </row>
    <row r="48" ht="15.75" customHeight="1">
      <c r="A48" s="14">
        <v>1.0</v>
      </c>
      <c r="B48" s="16"/>
      <c r="C48" s="16"/>
      <c r="D48" s="14"/>
      <c r="E48" s="16"/>
      <c r="F48" s="16"/>
      <c r="G48" s="16"/>
      <c r="H48" s="16"/>
      <c r="I48" s="16"/>
      <c r="J48" s="16"/>
      <c r="K48" s="16"/>
      <c r="L48" s="16"/>
      <c r="M48" s="16"/>
    </row>
    <row r="49" ht="15.75" customHeight="1">
      <c r="A49" s="14">
        <v>2.0</v>
      </c>
      <c r="B49" s="16"/>
      <c r="C49" s="16"/>
      <c r="D49" s="14"/>
      <c r="E49" s="16"/>
      <c r="F49" s="16"/>
      <c r="G49" s="16"/>
      <c r="H49" s="16"/>
      <c r="I49" s="16"/>
      <c r="J49" s="16"/>
      <c r="K49" s="16"/>
      <c r="L49" s="16"/>
      <c r="M49" s="16"/>
    </row>
    <row r="50" ht="15.75" customHeight="1">
      <c r="A50" s="14">
        <v>3.0</v>
      </c>
      <c r="B50" s="16"/>
      <c r="C50" s="16"/>
      <c r="D50" s="14"/>
      <c r="E50" s="16"/>
      <c r="F50" s="16"/>
      <c r="G50" s="16"/>
      <c r="H50" s="16"/>
      <c r="I50" s="16"/>
      <c r="J50" s="16"/>
      <c r="K50" s="16"/>
      <c r="L50" s="16"/>
      <c r="M50" s="16"/>
    </row>
    <row r="51" ht="15.75" customHeight="1">
      <c r="A51" s="14">
        <v>4.0</v>
      </c>
      <c r="B51" s="16"/>
      <c r="C51" s="16"/>
      <c r="D51" s="14"/>
      <c r="E51" s="16"/>
      <c r="F51" s="16"/>
      <c r="G51" s="16"/>
      <c r="H51" s="16"/>
      <c r="I51" s="16"/>
      <c r="J51" s="16"/>
      <c r="K51" s="16"/>
      <c r="L51" s="16"/>
      <c r="M51" s="16"/>
    </row>
    <row r="52" ht="15.75" customHeight="1">
      <c r="A52" s="14">
        <v>5.0</v>
      </c>
      <c r="B52" s="16"/>
      <c r="C52" s="16"/>
      <c r="D52" s="14"/>
      <c r="E52" s="16"/>
      <c r="F52" s="16"/>
      <c r="G52" s="16"/>
      <c r="H52" s="16"/>
      <c r="I52" s="16"/>
      <c r="J52" s="16"/>
      <c r="K52" s="16"/>
      <c r="L52" s="16"/>
      <c r="M52" s="16"/>
    </row>
    <row r="53" ht="15.75" customHeight="1">
      <c r="A53" s="12" t="s">
        <v>142</v>
      </c>
      <c r="B53" s="13" t="s">
        <v>143</v>
      </c>
      <c r="C53" s="13"/>
      <c r="D53" s="19">
        <f>SUM(D54:D58)</f>
        <v>0</v>
      </c>
      <c r="E53" s="13"/>
      <c r="F53" s="13"/>
      <c r="G53" s="13"/>
      <c r="H53" s="13"/>
      <c r="I53" s="13"/>
      <c r="J53" s="13"/>
      <c r="K53" s="13"/>
      <c r="L53" s="13"/>
      <c r="M53" s="13"/>
    </row>
    <row r="54" ht="15.75" customHeight="1">
      <c r="A54" s="14">
        <v>1.0</v>
      </c>
      <c r="B54" s="16"/>
      <c r="C54" s="16"/>
      <c r="D54" s="14"/>
      <c r="E54" s="16"/>
      <c r="F54" s="16"/>
      <c r="G54" s="16"/>
      <c r="H54" s="16"/>
      <c r="I54" s="16"/>
      <c r="J54" s="16"/>
      <c r="K54" s="16"/>
      <c r="L54" s="16"/>
      <c r="M54" s="16"/>
    </row>
    <row r="55" ht="15.75" customHeight="1">
      <c r="A55" s="14">
        <v>2.0</v>
      </c>
      <c r="B55" s="16"/>
      <c r="C55" s="16"/>
      <c r="D55" s="14"/>
      <c r="E55" s="16"/>
      <c r="F55" s="16"/>
      <c r="G55" s="16"/>
      <c r="H55" s="16"/>
      <c r="I55" s="16"/>
      <c r="J55" s="16"/>
      <c r="K55" s="16"/>
      <c r="L55" s="16"/>
      <c r="M55" s="16"/>
    </row>
    <row r="56" ht="15.75" customHeight="1">
      <c r="A56" s="14">
        <v>3.0</v>
      </c>
      <c r="B56" s="16"/>
      <c r="C56" s="16"/>
      <c r="D56" s="14"/>
      <c r="E56" s="16"/>
      <c r="F56" s="16"/>
      <c r="G56" s="16"/>
      <c r="H56" s="16"/>
      <c r="I56" s="16"/>
      <c r="J56" s="16"/>
      <c r="K56" s="16"/>
      <c r="L56" s="16"/>
      <c r="M56" s="16"/>
    </row>
    <row r="57" ht="15.75" customHeight="1">
      <c r="A57" s="14">
        <v>4.0</v>
      </c>
      <c r="B57" s="16"/>
      <c r="C57" s="16"/>
      <c r="D57" s="14"/>
      <c r="E57" s="16"/>
      <c r="F57" s="16"/>
      <c r="G57" s="16"/>
      <c r="H57" s="16"/>
      <c r="I57" s="16"/>
      <c r="J57" s="16"/>
      <c r="K57" s="16"/>
      <c r="L57" s="16"/>
      <c r="M57" s="16"/>
    </row>
    <row r="58" ht="15.75" customHeight="1">
      <c r="A58" s="14">
        <v>5.0</v>
      </c>
      <c r="B58" s="16"/>
      <c r="C58" s="16"/>
      <c r="D58" s="14"/>
      <c r="E58" s="16"/>
      <c r="F58" s="16"/>
      <c r="G58" s="16"/>
      <c r="H58" s="16"/>
      <c r="I58" s="16"/>
      <c r="J58" s="16"/>
      <c r="K58" s="16"/>
      <c r="L58" s="16"/>
      <c r="M58" s="16"/>
    </row>
    <row r="59" ht="15.75" customHeight="1">
      <c r="A59" s="12" t="s">
        <v>144</v>
      </c>
      <c r="B59" s="13" t="s">
        <v>145</v>
      </c>
      <c r="C59" s="13"/>
      <c r="D59" s="19">
        <f>SUM(D60:D64)</f>
        <v>0</v>
      </c>
      <c r="E59" s="13"/>
      <c r="F59" s="13"/>
      <c r="G59" s="13"/>
      <c r="H59" s="13"/>
      <c r="I59" s="13"/>
      <c r="J59" s="13"/>
      <c r="K59" s="13"/>
      <c r="L59" s="13"/>
      <c r="M59" s="13"/>
    </row>
    <row r="60" ht="15.75" customHeight="1">
      <c r="A60" s="14">
        <v>1.0</v>
      </c>
      <c r="B60" s="16"/>
      <c r="C60" s="16"/>
      <c r="D60" s="14"/>
      <c r="E60" s="16"/>
      <c r="F60" s="16"/>
      <c r="G60" s="16"/>
      <c r="H60" s="16"/>
      <c r="I60" s="16"/>
      <c r="J60" s="16"/>
      <c r="K60" s="16"/>
      <c r="L60" s="16"/>
      <c r="M60" s="16"/>
    </row>
    <row r="61" ht="15.75" customHeight="1">
      <c r="A61" s="14">
        <v>2.0</v>
      </c>
      <c r="B61" s="16"/>
      <c r="C61" s="16"/>
      <c r="D61" s="14"/>
      <c r="E61" s="16"/>
      <c r="F61" s="16"/>
      <c r="G61" s="16"/>
      <c r="H61" s="16"/>
      <c r="I61" s="16"/>
      <c r="J61" s="16"/>
      <c r="K61" s="16"/>
      <c r="L61" s="16"/>
      <c r="M61" s="16"/>
    </row>
    <row r="62" ht="15.75" customHeight="1">
      <c r="A62" s="14">
        <v>3.0</v>
      </c>
      <c r="B62" s="16"/>
      <c r="C62" s="16"/>
      <c r="D62" s="14"/>
      <c r="E62" s="16"/>
      <c r="F62" s="16"/>
      <c r="G62" s="16"/>
      <c r="H62" s="16"/>
      <c r="I62" s="16"/>
      <c r="J62" s="16"/>
      <c r="K62" s="16"/>
      <c r="L62" s="16"/>
      <c r="M62" s="16"/>
    </row>
    <row r="63" ht="15.75" customHeight="1">
      <c r="A63" s="14">
        <v>4.0</v>
      </c>
      <c r="B63" s="16"/>
      <c r="C63" s="16"/>
      <c r="D63" s="14"/>
      <c r="E63" s="16"/>
      <c r="F63" s="16"/>
      <c r="G63" s="16"/>
      <c r="H63" s="16"/>
      <c r="I63" s="16"/>
      <c r="J63" s="16"/>
      <c r="K63" s="16"/>
      <c r="L63" s="16"/>
      <c r="M63" s="16"/>
    </row>
    <row r="64" ht="15.75" customHeight="1">
      <c r="A64" s="14">
        <v>5.0</v>
      </c>
      <c r="B64" s="16"/>
      <c r="C64" s="16"/>
      <c r="D64" s="14"/>
      <c r="E64" s="16"/>
      <c r="F64" s="16"/>
      <c r="G64" s="16"/>
      <c r="H64" s="16"/>
      <c r="I64" s="16"/>
      <c r="J64" s="16"/>
      <c r="K64" s="16"/>
      <c r="L64" s="16"/>
      <c r="M64" s="16"/>
    </row>
    <row r="65" ht="15.75" customHeight="1">
      <c r="A65" s="12" t="s">
        <v>146</v>
      </c>
      <c r="B65" s="13" t="s">
        <v>147</v>
      </c>
      <c r="C65" s="13"/>
      <c r="D65" s="19">
        <f>SUM(D66:D70)</f>
        <v>0</v>
      </c>
      <c r="E65" s="13"/>
      <c r="F65" s="13"/>
      <c r="G65" s="13"/>
      <c r="H65" s="13"/>
      <c r="I65" s="13"/>
      <c r="J65" s="13"/>
      <c r="K65" s="13"/>
      <c r="L65" s="13"/>
      <c r="M65" s="13"/>
    </row>
    <row r="66" ht="15.75" customHeight="1">
      <c r="A66" s="14">
        <v>1.0</v>
      </c>
      <c r="B66" s="16"/>
      <c r="C66" s="16"/>
      <c r="D66" s="14"/>
      <c r="E66" s="16"/>
      <c r="F66" s="16"/>
      <c r="G66" s="16"/>
      <c r="H66" s="16"/>
      <c r="I66" s="16"/>
      <c r="J66" s="16"/>
      <c r="K66" s="16"/>
      <c r="L66" s="16"/>
      <c r="M66" s="16"/>
    </row>
    <row r="67" ht="15.75" customHeight="1">
      <c r="A67" s="14">
        <v>2.0</v>
      </c>
      <c r="B67" s="16"/>
      <c r="C67" s="16"/>
      <c r="D67" s="14"/>
      <c r="E67" s="16"/>
      <c r="F67" s="16"/>
      <c r="G67" s="16"/>
      <c r="H67" s="16"/>
      <c r="I67" s="16"/>
      <c r="J67" s="16"/>
      <c r="K67" s="16"/>
      <c r="L67" s="16"/>
      <c r="M67" s="16"/>
    </row>
    <row r="68" ht="15.75" customHeight="1">
      <c r="A68" s="14">
        <v>3.0</v>
      </c>
      <c r="B68" s="16"/>
      <c r="C68" s="16"/>
      <c r="D68" s="14"/>
      <c r="E68" s="16"/>
      <c r="F68" s="16"/>
      <c r="G68" s="16"/>
      <c r="H68" s="16"/>
      <c r="I68" s="16"/>
      <c r="J68" s="16"/>
      <c r="K68" s="16"/>
      <c r="L68" s="16"/>
      <c r="M68" s="16"/>
    </row>
    <row r="69" ht="15.75" customHeight="1">
      <c r="A69" s="14">
        <v>4.0</v>
      </c>
      <c r="B69" s="16"/>
      <c r="C69" s="16"/>
      <c r="D69" s="14"/>
      <c r="E69" s="16"/>
      <c r="F69" s="16"/>
      <c r="G69" s="16"/>
      <c r="H69" s="16"/>
      <c r="I69" s="16"/>
      <c r="J69" s="16"/>
      <c r="K69" s="16"/>
      <c r="L69" s="16"/>
      <c r="M69" s="16"/>
    </row>
    <row r="70" ht="15.75" customHeight="1">
      <c r="A70" s="14">
        <v>5.0</v>
      </c>
      <c r="B70" s="16"/>
      <c r="C70" s="16"/>
      <c r="D70" s="14"/>
      <c r="E70" s="16"/>
      <c r="F70" s="16"/>
      <c r="G70" s="16"/>
      <c r="H70" s="16"/>
      <c r="I70" s="16"/>
      <c r="J70" s="16"/>
      <c r="K70" s="16"/>
      <c r="L70" s="16"/>
      <c r="M70" s="16"/>
    </row>
    <row r="71" ht="15.75" customHeight="1">
      <c r="A71" s="12" t="s">
        <v>148</v>
      </c>
      <c r="B71" s="13" t="s">
        <v>149</v>
      </c>
      <c r="C71" s="13"/>
      <c r="D71" s="19">
        <f>SUM(D72:D76)</f>
        <v>0</v>
      </c>
      <c r="E71" s="13"/>
      <c r="F71" s="13"/>
      <c r="G71" s="13"/>
      <c r="H71" s="13"/>
      <c r="I71" s="13"/>
      <c r="J71" s="13"/>
      <c r="K71" s="13"/>
      <c r="L71" s="13"/>
      <c r="M71" s="13"/>
    </row>
    <row r="72" ht="15.75" customHeight="1">
      <c r="A72" s="14">
        <v>1.0</v>
      </c>
      <c r="B72" s="16"/>
      <c r="C72" s="16"/>
      <c r="D72" s="14"/>
      <c r="E72" s="16"/>
      <c r="F72" s="16"/>
      <c r="G72" s="16"/>
      <c r="H72" s="16"/>
      <c r="I72" s="16"/>
      <c r="J72" s="16"/>
      <c r="K72" s="16"/>
      <c r="L72" s="16"/>
      <c r="M72" s="16"/>
    </row>
    <row r="73" ht="15.75" customHeight="1">
      <c r="A73" s="14">
        <v>2.0</v>
      </c>
      <c r="B73" s="16"/>
      <c r="C73" s="16"/>
      <c r="D73" s="14"/>
      <c r="E73" s="16"/>
      <c r="F73" s="16"/>
      <c r="G73" s="16"/>
      <c r="H73" s="16"/>
      <c r="I73" s="16"/>
      <c r="J73" s="16"/>
      <c r="K73" s="16"/>
      <c r="L73" s="16"/>
      <c r="M73" s="16"/>
    </row>
    <row r="74" ht="15.75" customHeight="1">
      <c r="A74" s="14">
        <v>3.0</v>
      </c>
      <c r="B74" s="16"/>
      <c r="C74" s="16"/>
      <c r="D74" s="14"/>
      <c r="E74" s="16"/>
      <c r="F74" s="16"/>
      <c r="G74" s="16"/>
      <c r="H74" s="16"/>
      <c r="I74" s="16"/>
      <c r="J74" s="16"/>
      <c r="K74" s="16"/>
      <c r="L74" s="16"/>
      <c r="M74" s="16"/>
    </row>
    <row r="75" ht="15.75" customHeight="1">
      <c r="A75" s="14">
        <v>4.0</v>
      </c>
      <c r="B75" s="16"/>
      <c r="C75" s="16"/>
      <c r="D75" s="14"/>
      <c r="E75" s="16"/>
      <c r="F75" s="16"/>
      <c r="G75" s="16"/>
      <c r="H75" s="16"/>
      <c r="I75" s="16"/>
      <c r="J75" s="16"/>
      <c r="K75" s="16"/>
      <c r="L75" s="16"/>
      <c r="M75" s="16"/>
    </row>
    <row r="76" ht="15.75" customHeight="1">
      <c r="A76" s="14">
        <v>5.0</v>
      </c>
      <c r="B76" s="16"/>
      <c r="C76" s="16"/>
      <c r="D76" s="14"/>
      <c r="E76" s="16"/>
      <c r="F76" s="16"/>
      <c r="G76" s="16"/>
      <c r="H76" s="16"/>
      <c r="I76" s="16"/>
      <c r="J76" s="16"/>
      <c r="K76" s="16"/>
      <c r="L76" s="16"/>
      <c r="M76" s="16"/>
    </row>
    <row r="77" ht="15.75" customHeight="1">
      <c r="A77" s="12" t="s">
        <v>150</v>
      </c>
      <c r="B77" s="13" t="s">
        <v>151</v>
      </c>
      <c r="C77" s="13"/>
      <c r="D77" s="19">
        <f>SUM(D78:D82)</f>
        <v>0</v>
      </c>
      <c r="E77" s="13"/>
      <c r="F77" s="13"/>
      <c r="G77" s="13"/>
      <c r="H77" s="13"/>
      <c r="I77" s="13"/>
      <c r="J77" s="13"/>
      <c r="K77" s="13"/>
      <c r="L77" s="13"/>
      <c r="M77" s="13"/>
    </row>
    <row r="78" ht="15.75" customHeight="1">
      <c r="A78" s="14">
        <v>1.0</v>
      </c>
      <c r="B78" s="16"/>
      <c r="C78" s="16"/>
      <c r="D78" s="14"/>
      <c r="E78" s="16"/>
      <c r="F78" s="16"/>
      <c r="G78" s="16"/>
      <c r="H78" s="16"/>
      <c r="I78" s="16"/>
      <c r="J78" s="16"/>
      <c r="K78" s="16"/>
      <c r="L78" s="16"/>
      <c r="M78" s="16"/>
    </row>
    <row r="79" ht="15.75" customHeight="1">
      <c r="A79" s="14">
        <v>2.0</v>
      </c>
      <c r="B79" s="16"/>
      <c r="C79" s="16"/>
      <c r="D79" s="14"/>
      <c r="E79" s="16"/>
      <c r="F79" s="16"/>
      <c r="G79" s="16"/>
      <c r="H79" s="16"/>
      <c r="I79" s="16"/>
      <c r="J79" s="16"/>
      <c r="K79" s="16"/>
      <c r="L79" s="16"/>
      <c r="M79" s="16"/>
    </row>
    <row r="80" ht="15.75" customHeight="1">
      <c r="A80" s="14">
        <v>3.0</v>
      </c>
      <c r="B80" s="16"/>
      <c r="C80" s="16"/>
      <c r="D80" s="14"/>
      <c r="E80" s="16"/>
      <c r="F80" s="16"/>
      <c r="G80" s="16"/>
      <c r="H80" s="16"/>
      <c r="I80" s="16"/>
      <c r="J80" s="16"/>
      <c r="K80" s="16"/>
      <c r="L80" s="16"/>
      <c r="M80" s="16"/>
    </row>
    <row r="81" ht="15.75" customHeight="1">
      <c r="A81" s="14">
        <v>4.0</v>
      </c>
      <c r="B81" s="16"/>
      <c r="C81" s="16"/>
      <c r="D81" s="14"/>
      <c r="E81" s="16"/>
      <c r="F81" s="16"/>
      <c r="G81" s="16"/>
      <c r="H81" s="16"/>
      <c r="I81" s="16"/>
      <c r="J81" s="16"/>
      <c r="K81" s="16"/>
      <c r="L81" s="16"/>
      <c r="M81" s="16"/>
    </row>
    <row r="82" ht="15.75" customHeight="1">
      <c r="A82" s="14">
        <v>5.0</v>
      </c>
      <c r="B82" s="16"/>
      <c r="C82" s="16"/>
      <c r="D82" s="14"/>
      <c r="E82" s="16"/>
      <c r="F82" s="16"/>
      <c r="G82" s="16"/>
      <c r="H82" s="16"/>
      <c r="I82" s="16"/>
      <c r="J82" s="16"/>
      <c r="K82" s="16"/>
      <c r="L82" s="16"/>
      <c r="M82" s="16"/>
    </row>
    <row r="83" ht="15.75" customHeight="1">
      <c r="A83" s="12" t="s">
        <v>152</v>
      </c>
      <c r="B83" s="13" t="s">
        <v>153</v>
      </c>
      <c r="C83" s="13"/>
      <c r="D83" s="19">
        <f>SUM(D84:D88)</f>
        <v>0</v>
      </c>
      <c r="E83" s="13"/>
      <c r="F83" s="13"/>
      <c r="G83" s="13"/>
      <c r="H83" s="13"/>
      <c r="I83" s="13"/>
      <c r="J83" s="13"/>
      <c r="K83" s="13"/>
      <c r="L83" s="13"/>
      <c r="M83" s="13"/>
    </row>
    <row r="84" ht="15.75" customHeight="1">
      <c r="A84" s="14">
        <v>1.0</v>
      </c>
      <c r="B84" s="16"/>
      <c r="C84" s="16"/>
      <c r="D84" s="14"/>
      <c r="E84" s="16"/>
      <c r="F84" s="16"/>
      <c r="G84" s="16"/>
      <c r="H84" s="16"/>
      <c r="I84" s="16"/>
      <c r="J84" s="16"/>
      <c r="K84" s="16"/>
      <c r="L84" s="16"/>
      <c r="M84" s="16"/>
    </row>
    <row r="85" ht="15.75" customHeight="1">
      <c r="A85" s="14">
        <v>2.0</v>
      </c>
      <c r="B85" s="16"/>
      <c r="C85" s="16"/>
      <c r="D85" s="14"/>
      <c r="E85" s="16"/>
      <c r="F85" s="16"/>
      <c r="G85" s="16"/>
      <c r="H85" s="16"/>
      <c r="I85" s="16"/>
      <c r="J85" s="16"/>
      <c r="K85" s="16"/>
      <c r="L85" s="16"/>
      <c r="M85" s="16"/>
    </row>
    <row r="86" ht="15.75" customHeight="1">
      <c r="A86" s="14">
        <v>3.0</v>
      </c>
      <c r="B86" s="16"/>
      <c r="C86" s="16"/>
      <c r="D86" s="14"/>
      <c r="E86" s="16"/>
      <c r="F86" s="16"/>
      <c r="G86" s="16"/>
      <c r="H86" s="16"/>
      <c r="I86" s="16"/>
      <c r="J86" s="16"/>
      <c r="K86" s="16"/>
      <c r="L86" s="16"/>
      <c r="M86" s="16"/>
    </row>
    <row r="87" ht="15.75" customHeight="1">
      <c r="A87" s="14">
        <v>4.0</v>
      </c>
      <c r="B87" s="16"/>
      <c r="C87" s="16"/>
      <c r="D87" s="14"/>
      <c r="E87" s="16"/>
      <c r="F87" s="16"/>
      <c r="G87" s="16"/>
      <c r="H87" s="16"/>
      <c r="I87" s="16"/>
      <c r="J87" s="16"/>
      <c r="K87" s="16"/>
      <c r="L87" s="16"/>
      <c r="M87" s="16"/>
    </row>
    <row r="88" ht="15.75" customHeight="1">
      <c r="A88" s="14">
        <v>5.0</v>
      </c>
      <c r="B88" s="16"/>
      <c r="C88" s="16"/>
      <c r="D88" s="14"/>
      <c r="E88" s="16"/>
      <c r="F88" s="16"/>
      <c r="G88" s="16"/>
      <c r="H88" s="16"/>
      <c r="I88" s="16"/>
      <c r="J88" s="16"/>
      <c r="K88" s="16"/>
      <c r="L88" s="16"/>
      <c r="M88" s="16"/>
    </row>
    <row r="89" ht="15.75" customHeight="1">
      <c r="A89" s="12" t="s">
        <v>154</v>
      </c>
      <c r="B89" s="13" t="s">
        <v>155</v>
      </c>
      <c r="C89" s="13"/>
      <c r="D89" s="19">
        <f>SUM(D90:D94)</f>
        <v>0</v>
      </c>
      <c r="E89" s="13"/>
      <c r="F89" s="13"/>
      <c r="G89" s="13"/>
      <c r="H89" s="13"/>
      <c r="I89" s="13"/>
      <c r="J89" s="13"/>
      <c r="K89" s="13"/>
      <c r="L89" s="13"/>
      <c r="M89" s="13"/>
    </row>
    <row r="90" ht="15.75" customHeight="1">
      <c r="A90" s="14">
        <v>1.0</v>
      </c>
      <c r="B90" s="16"/>
      <c r="C90" s="16"/>
      <c r="D90" s="14"/>
      <c r="E90" s="16"/>
      <c r="F90" s="16"/>
      <c r="G90" s="16"/>
      <c r="H90" s="16"/>
      <c r="I90" s="16"/>
      <c r="J90" s="16"/>
      <c r="K90" s="16"/>
      <c r="L90" s="16"/>
      <c r="M90" s="16"/>
    </row>
    <row r="91" ht="15.75" customHeight="1">
      <c r="A91" s="14">
        <v>2.0</v>
      </c>
      <c r="B91" s="16"/>
      <c r="C91" s="16"/>
      <c r="D91" s="14"/>
      <c r="E91" s="16"/>
      <c r="F91" s="16"/>
      <c r="G91" s="16"/>
      <c r="H91" s="16"/>
      <c r="I91" s="16"/>
      <c r="J91" s="16"/>
      <c r="K91" s="16"/>
      <c r="L91" s="16"/>
      <c r="M91" s="16"/>
    </row>
    <row r="92" ht="15.75" customHeight="1">
      <c r="A92" s="14">
        <v>3.0</v>
      </c>
      <c r="B92" s="16"/>
      <c r="C92" s="16"/>
      <c r="D92" s="14"/>
      <c r="E92" s="16"/>
      <c r="F92" s="16"/>
      <c r="G92" s="16"/>
      <c r="H92" s="16"/>
      <c r="I92" s="16"/>
      <c r="J92" s="16"/>
      <c r="K92" s="16"/>
      <c r="L92" s="16"/>
      <c r="M92" s="16"/>
    </row>
    <row r="93" ht="15.75" customHeight="1">
      <c r="A93" s="14">
        <v>4.0</v>
      </c>
      <c r="B93" s="16"/>
      <c r="C93" s="16"/>
      <c r="D93" s="14"/>
      <c r="E93" s="16"/>
      <c r="F93" s="16"/>
      <c r="G93" s="16"/>
      <c r="H93" s="16"/>
      <c r="I93" s="16"/>
      <c r="J93" s="16"/>
      <c r="K93" s="16"/>
      <c r="L93" s="16"/>
      <c r="M93" s="16"/>
    </row>
    <row r="94" ht="15.75" customHeight="1">
      <c r="A94" s="14">
        <v>5.0</v>
      </c>
      <c r="B94" s="16"/>
      <c r="C94" s="16"/>
      <c r="D94" s="14"/>
      <c r="E94" s="16"/>
      <c r="F94" s="16"/>
      <c r="G94" s="16"/>
      <c r="H94" s="16"/>
      <c r="I94" s="16"/>
      <c r="J94" s="16"/>
      <c r="K94" s="16"/>
      <c r="L94" s="16"/>
      <c r="M94" s="16"/>
    </row>
    <row r="95" ht="15.75" customHeight="1">
      <c r="A95" s="12" t="s">
        <v>156</v>
      </c>
      <c r="B95" s="13" t="s">
        <v>157</v>
      </c>
      <c r="C95" s="13"/>
      <c r="D95" s="19">
        <f>SUM(D96:D100)</f>
        <v>0</v>
      </c>
      <c r="E95" s="13"/>
      <c r="F95" s="13"/>
      <c r="G95" s="13"/>
      <c r="H95" s="13"/>
      <c r="I95" s="13"/>
      <c r="J95" s="13"/>
      <c r="K95" s="13"/>
      <c r="L95" s="13"/>
      <c r="M95" s="13"/>
    </row>
    <row r="96" ht="15.75" customHeight="1">
      <c r="A96" s="14">
        <v>1.0</v>
      </c>
      <c r="B96" s="16"/>
      <c r="C96" s="16"/>
      <c r="D96" s="14"/>
      <c r="E96" s="16"/>
      <c r="F96" s="16"/>
      <c r="G96" s="16"/>
      <c r="H96" s="16"/>
      <c r="I96" s="16"/>
      <c r="J96" s="16"/>
      <c r="K96" s="16"/>
      <c r="L96" s="16"/>
      <c r="M96" s="16"/>
    </row>
    <row r="97" ht="15.75" customHeight="1">
      <c r="A97" s="14">
        <v>2.0</v>
      </c>
      <c r="B97" s="16"/>
      <c r="C97" s="16"/>
      <c r="D97" s="14"/>
      <c r="E97" s="16"/>
      <c r="F97" s="16"/>
      <c r="G97" s="16"/>
      <c r="H97" s="16"/>
      <c r="I97" s="16"/>
      <c r="J97" s="16"/>
      <c r="K97" s="16"/>
      <c r="L97" s="16"/>
      <c r="M97" s="16"/>
    </row>
    <row r="98" ht="15.75" customHeight="1">
      <c r="A98" s="14">
        <v>3.0</v>
      </c>
      <c r="B98" s="16"/>
      <c r="C98" s="16"/>
      <c r="D98" s="14"/>
      <c r="E98" s="16"/>
      <c r="F98" s="16"/>
      <c r="G98" s="16"/>
      <c r="H98" s="16"/>
      <c r="I98" s="16"/>
      <c r="J98" s="16"/>
      <c r="K98" s="16"/>
      <c r="L98" s="16"/>
      <c r="M98" s="16"/>
    </row>
    <row r="99" ht="15.75" customHeight="1">
      <c r="A99" s="14">
        <v>4.0</v>
      </c>
      <c r="B99" s="16"/>
      <c r="C99" s="16"/>
      <c r="D99" s="14"/>
      <c r="E99" s="16"/>
      <c r="F99" s="16"/>
      <c r="G99" s="16"/>
      <c r="H99" s="16"/>
      <c r="I99" s="16"/>
      <c r="J99" s="16"/>
      <c r="K99" s="16"/>
      <c r="L99" s="16"/>
      <c r="M99" s="16"/>
    </row>
    <row r="100" ht="15.75" customHeight="1">
      <c r="A100" s="14">
        <v>5.0</v>
      </c>
      <c r="B100" s="16"/>
      <c r="C100" s="16"/>
      <c r="D100" s="14"/>
      <c r="E100" s="16"/>
      <c r="F100" s="16"/>
      <c r="G100" s="16"/>
      <c r="H100" s="16"/>
      <c r="I100" s="16"/>
      <c r="J100" s="16"/>
      <c r="K100" s="16"/>
      <c r="L100" s="16"/>
      <c r="M100" s="16"/>
    </row>
    <row r="101" ht="15.75" customHeight="1">
      <c r="A101" s="12" t="s">
        <v>158</v>
      </c>
      <c r="B101" s="13" t="s">
        <v>159</v>
      </c>
      <c r="C101" s="13"/>
      <c r="D101" s="19">
        <f>SUM(D102:D106)</f>
        <v>0</v>
      </c>
      <c r="E101" s="13"/>
      <c r="F101" s="13"/>
      <c r="G101" s="13"/>
      <c r="H101" s="13"/>
      <c r="I101" s="13"/>
      <c r="J101" s="13"/>
      <c r="K101" s="13"/>
      <c r="L101" s="13"/>
      <c r="M101" s="13"/>
    </row>
    <row r="102" ht="15.75" customHeight="1">
      <c r="A102" s="14">
        <v>1.0</v>
      </c>
      <c r="B102" s="16"/>
      <c r="C102" s="16"/>
      <c r="D102" s="14"/>
      <c r="E102" s="16"/>
      <c r="F102" s="16"/>
      <c r="G102" s="16"/>
      <c r="H102" s="16"/>
      <c r="I102" s="16"/>
      <c r="J102" s="16"/>
      <c r="K102" s="16"/>
      <c r="L102" s="16"/>
      <c r="M102" s="16"/>
    </row>
    <row r="103" ht="15.75" customHeight="1">
      <c r="A103" s="14">
        <v>2.0</v>
      </c>
      <c r="B103" s="16"/>
      <c r="C103" s="16"/>
      <c r="D103" s="14"/>
      <c r="E103" s="16"/>
      <c r="F103" s="16"/>
      <c r="G103" s="16"/>
      <c r="H103" s="16"/>
      <c r="I103" s="16"/>
      <c r="J103" s="16"/>
      <c r="K103" s="16"/>
      <c r="L103" s="16"/>
      <c r="M103" s="16"/>
    </row>
    <row r="104" ht="15.75" customHeight="1">
      <c r="A104" s="14">
        <v>3.0</v>
      </c>
      <c r="B104" s="16"/>
      <c r="C104" s="16"/>
      <c r="D104" s="14"/>
      <c r="E104" s="16"/>
      <c r="F104" s="16"/>
      <c r="G104" s="16"/>
      <c r="H104" s="16"/>
      <c r="I104" s="16"/>
      <c r="J104" s="16"/>
      <c r="K104" s="16"/>
      <c r="L104" s="16"/>
      <c r="M104" s="16"/>
    </row>
    <row r="105" ht="15.75" customHeight="1">
      <c r="A105" s="14">
        <v>4.0</v>
      </c>
      <c r="B105" s="16"/>
      <c r="C105" s="16"/>
      <c r="D105" s="14"/>
      <c r="E105" s="16"/>
      <c r="F105" s="16"/>
      <c r="G105" s="16"/>
      <c r="H105" s="16"/>
      <c r="I105" s="16"/>
      <c r="J105" s="16"/>
      <c r="K105" s="16"/>
      <c r="L105" s="16"/>
      <c r="M105" s="16"/>
    </row>
    <row r="106" ht="15.75" customHeight="1">
      <c r="A106" s="14">
        <v>5.0</v>
      </c>
      <c r="B106" s="16"/>
      <c r="C106" s="16"/>
      <c r="D106" s="14"/>
      <c r="E106" s="16"/>
      <c r="F106" s="16"/>
      <c r="G106" s="16"/>
      <c r="H106" s="16"/>
      <c r="I106" s="16"/>
      <c r="J106" s="16"/>
      <c r="K106" s="16"/>
      <c r="L106" s="16"/>
      <c r="M106" s="16"/>
    </row>
    <row r="107" ht="15.75" customHeight="1">
      <c r="A107" s="12" t="s">
        <v>160</v>
      </c>
      <c r="B107" s="13" t="s">
        <v>161</v>
      </c>
      <c r="C107" s="13"/>
      <c r="D107" s="19">
        <f>SUM(D108:D112)</f>
        <v>0</v>
      </c>
      <c r="E107" s="13"/>
      <c r="F107" s="13"/>
      <c r="G107" s="13"/>
      <c r="H107" s="13"/>
      <c r="I107" s="13"/>
      <c r="J107" s="13"/>
      <c r="K107" s="13"/>
      <c r="L107" s="13"/>
      <c r="M107" s="13"/>
    </row>
    <row r="108" ht="15.75" customHeight="1">
      <c r="A108" s="14">
        <v>1.0</v>
      </c>
      <c r="B108" s="16"/>
      <c r="C108" s="16"/>
      <c r="D108" s="14"/>
      <c r="E108" s="16"/>
      <c r="F108" s="16"/>
      <c r="G108" s="16"/>
      <c r="H108" s="16"/>
      <c r="I108" s="16"/>
      <c r="J108" s="16"/>
      <c r="K108" s="16"/>
      <c r="L108" s="16"/>
      <c r="M108" s="16"/>
    </row>
    <row r="109" ht="15.75" customHeight="1">
      <c r="A109" s="14">
        <v>2.0</v>
      </c>
      <c r="B109" s="16"/>
      <c r="C109" s="16"/>
      <c r="D109" s="14"/>
      <c r="E109" s="16"/>
      <c r="F109" s="16"/>
      <c r="G109" s="16"/>
      <c r="H109" s="16"/>
      <c r="I109" s="16"/>
      <c r="J109" s="16"/>
      <c r="K109" s="16"/>
      <c r="L109" s="16"/>
      <c r="M109" s="16"/>
    </row>
    <row r="110" ht="15.75" customHeight="1">
      <c r="A110" s="14">
        <v>3.0</v>
      </c>
      <c r="B110" s="16"/>
      <c r="C110" s="16"/>
      <c r="D110" s="14"/>
      <c r="E110" s="16"/>
      <c r="F110" s="16"/>
      <c r="G110" s="16"/>
      <c r="H110" s="16"/>
      <c r="I110" s="16"/>
      <c r="J110" s="16"/>
      <c r="K110" s="16"/>
      <c r="L110" s="16"/>
      <c r="M110" s="16"/>
    </row>
    <row r="111" ht="15.75" customHeight="1">
      <c r="A111" s="14">
        <v>4.0</v>
      </c>
      <c r="B111" s="16"/>
      <c r="C111" s="16"/>
      <c r="D111" s="14"/>
      <c r="E111" s="16"/>
      <c r="F111" s="16"/>
      <c r="G111" s="16"/>
      <c r="H111" s="16"/>
      <c r="I111" s="16"/>
      <c r="J111" s="16"/>
      <c r="K111" s="16"/>
      <c r="L111" s="16"/>
      <c r="M111" s="16"/>
    </row>
    <row r="112" ht="15.75" customHeight="1">
      <c r="A112" s="14">
        <v>5.0</v>
      </c>
      <c r="B112" s="16"/>
      <c r="C112" s="16"/>
      <c r="D112" s="14"/>
      <c r="E112" s="16"/>
      <c r="F112" s="16"/>
      <c r="G112" s="16"/>
      <c r="H112" s="16"/>
      <c r="I112" s="16"/>
      <c r="J112" s="16"/>
      <c r="K112" s="16"/>
      <c r="L112" s="16"/>
      <c r="M112" s="16"/>
    </row>
    <row r="113" ht="15.75" customHeight="1">
      <c r="A113" s="12" t="s">
        <v>162</v>
      </c>
      <c r="B113" s="13" t="s">
        <v>163</v>
      </c>
      <c r="C113" s="13"/>
      <c r="D113" s="19">
        <f>SUM(D114:D118)</f>
        <v>0</v>
      </c>
      <c r="E113" s="13"/>
      <c r="F113" s="13"/>
      <c r="G113" s="13"/>
      <c r="H113" s="13"/>
      <c r="I113" s="13"/>
      <c r="J113" s="13"/>
      <c r="K113" s="13"/>
      <c r="L113" s="13"/>
      <c r="M113" s="13"/>
    </row>
    <row r="114" ht="15.75" customHeight="1">
      <c r="A114" s="14">
        <v>1.0</v>
      </c>
      <c r="B114" s="16"/>
      <c r="C114" s="16"/>
      <c r="D114" s="14"/>
      <c r="E114" s="16"/>
      <c r="F114" s="16"/>
      <c r="G114" s="16"/>
      <c r="H114" s="16"/>
      <c r="I114" s="16"/>
      <c r="J114" s="16"/>
      <c r="K114" s="16"/>
      <c r="L114" s="16"/>
      <c r="M114" s="16"/>
    </row>
    <row r="115" ht="15.75" customHeight="1">
      <c r="A115" s="14">
        <v>2.0</v>
      </c>
      <c r="B115" s="16"/>
      <c r="C115" s="16"/>
      <c r="D115" s="14"/>
      <c r="E115" s="16"/>
      <c r="F115" s="16"/>
      <c r="G115" s="16"/>
      <c r="H115" s="16"/>
      <c r="I115" s="16"/>
      <c r="J115" s="16"/>
      <c r="K115" s="16"/>
      <c r="L115" s="16"/>
      <c r="M115" s="16"/>
    </row>
    <row r="116" ht="15.75" customHeight="1">
      <c r="A116" s="14">
        <v>3.0</v>
      </c>
      <c r="B116" s="16"/>
      <c r="C116" s="16"/>
      <c r="D116" s="14"/>
      <c r="E116" s="16"/>
      <c r="F116" s="16"/>
      <c r="G116" s="16"/>
      <c r="H116" s="16"/>
      <c r="I116" s="16"/>
      <c r="J116" s="16"/>
      <c r="K116" s="16"/>
      <c r="L116" s="16"/>
      <c r="M116" s="16"/>
    </row>
    <row r="117" ht="15.75" customHeight="1">
      <c r="A117" s="14">
        <v>4.0</v>
      </c>
      <c r="B117" s="16"/>
      <c r="C117" s="16"/>
      <c r="D117" s="14"/>
      <c r="E117" s="16"/>
      <c r="F117" s="16"/>
      <c r="G117" s="16"/>
      <c r="H117" s="16"/>
      <c r="I117" s="16"/>
      <c r="J117" s="16"/>
      <c r="K117" s="16"/>
      <c r="L117" s="16"/>
      <c r="M117" s="16"/>
    </row>
    <row r="118" ht="15.75" customHeight="1">
      <c r="A118" s="14">
        <v>5.0</v>
      </c>
      <c r="B118" s="16"/>
      <c r="C118" s="16"/>
      <c r="D118" s="14"/>
      <c r="E118" s="16"/>
      <c r="F118" s="16"/>
      <c r="G118" s="16"/>
      <c r="H118" s="16"/>
      <c r="I118" s="16"/>
      <c r="J118" s="16"/>
      <c r="K118" s="16"/>
      <c r="L118" s="16"/>
      <c r="M118" s="16"/>
    </row>
    <row r="119" ht="15.75" customHeight="1">
      <c r="A119" s="12" t="s">
        <v>164</v>
      </c>
      <c r="B119" s="13" t="s">
        <v>165</v>
      </c>
      <c r="C119" s="13"/>
      <c r="D119" s="19">
        <f>SUM(D120:D124)</f>
        <v>0</v>
      </c>
      <c r="E119" s="13"/>
      <c r="F119" s="13"/>
      <c r="G119" s="13"/>
      <c r="H119" s="13"/>
      <c r="I119" s="13"/>
      <c r="J119" s="13"/>
      <c r="K119" s="13"/>
      <c r="L119" s="13"/>
      <c r="M119" s="13"/>
    </row>
    <row r="120" ht="15.75" customHeight="1">
      <c r="A120" s="14">
        <v>1.0</v>
      </c>
      <c r="B120" s="16"/>
      <c r="C120" s="16"/>
      <c r="D120" s="14"/>
      <c r="E120" s="16"/>
      <c r="F120" s="16"/>
      <c r="G120" s="16"/>
      <c r="H120" s="16"/>
      <c r="I120" s="16"/>
      <c r="J120" s="16"/>
      <c r="K120" s="16"/>
      <c r="L120" s="16"/>
      <c r="M120" s="16"/>
    </row>
    <row r="121" ht="15.75" customHeight="1">
      <c r="A121" s="14">
        <v>2.0</v>
      </c>
      <c r="B121" s="16"/>
      <c r="C121" s="16"/>
      <c r="D121" s="14"/>
      <c r="E121" s="16"/>
      <c r="F121" s="16"/>
      <c r="G121" s="16"/>
      <c r="H121" s="16"/>
      <c r="I121" s="16"/>
      <c r="J121" s="16"/>
      <c r="K121" s="16"/>
      <c r="L121" s="16"/>
      <c r="M121" s="16"/>
    </row>
    <row r="122" ht="15.75" customHeight="1">
      <c r="A122" s="14">
        <v>3.0</v>
      </c>
      <c r="B122" s="16"/>
      <c r="C122" s="16"/>
      <c r="D122" s="14"/>
      <c r="E122" s="16"/>
      <c r="F122" s="16"/>
      <c r="G122" s="16"/>
      <c r="H122" s="16"/>
      <c r="I122" s="16"/>
      <c r="J122" s="16"/>
      <c r="K122" s="16"/>
      <c r="L122" s="16"/>
      <c r="M122" s="16"/>
    </row>
    <row r="123" ht="15.75" customHeight="1">
      <c r="A123" s="14">
        <v>4.0</v>
      </c>
      <c r="B123" s="16"/>
      <c r="C123" s="16"/>
      <c r="D123" s="14"/>
      <c r="E123" s="16"/>
      <c r="F123" s="16"/>
      <c r="G123" s="16"/>
      <c r="H123" s="16"/>
      <c r="I123" s="16"/>
      <c r="J123" s="16"/>
      <c r="K123" s="16"/>
      <c r="L123" s="16"/>
      <c r="M123" s="16"/>
    </row>
    <row r="124" ht="15.75" customHeight="1">
      <c r="A124" s="14">
        <v>5.0</v>
      </c>
      <c r="B124" s="16"/>
      <c r="C124" s="16"/>
      <c r="D124" s="14"/>
      <c r="E124" s="16"/>
      <c r="F124" s="16"/>
      <c r="G124" s="16"/>
      <c r="H124" s="16"/>
      <c r="I124" s="16"/>
      <c r="J124" s="16"/>
      <c r="K124" s="16"/>
      <c r="L124" s="16"/>
      <c r="M124" s="16"/>
    </row>
    <row r="125" ht="15.75" customHeight="1">
      <c r="A125" s="12" t="s">
        <v>166</v>
      </c>
      <c r="B125" s="13" t="s">
        <v>167</v>
      </c>
      <c r="C125" s="13"/>
      <c r="D125" s="19">
        <f>SUM(D126:D130)</f>
        <v>0</v>
      </c>
      <c r="E125" s="13"/>
      <c r="F125" s="13"/>
      <c r="G125" s="13"/>
      <c r="H125" s="13"/>
      <c r="I125" s="13"/>
      <c r="J125" s="13"/>
      <c r="K125" s="13"/>
      <c r="L125" s="13"/>
      <c r="M125" s="13"/>
    </row>
    <row r="126" ht="15.75" customHeight="1">
      <c r="A126" s="14">
        <v>1.0</v>
      </c>
      <c r="B126" s="16"/>
      <c r="C126" s="16"/>
      <c r="D126" s="14"/>
      <c r="E126" s="16"/>
      <c r="F126" s="16"/>
      <c r="G126" s="16"/>
      <c r="H126" s="16"/>
      <c r="I126" s="16"/>
      <c r="J126" s="16"/>
      <c r="K126" s="16"/>
      <c r="L126" s="16"/>
      <c r="M126" s="16"/>
    </row>
    <row r="127" ht="15.75" customHeight="1">
      <c r="A127" s="14">
        <v>2.0</v>
      </c>
      <c r="B127" s="16"/>
      <c r="C127" s="16"/>
      <c r="D127" s="14"/>
      <c r="E127" s="16"/>
      <c r="F127" s="16"/>
      <c r="G127" s="16"/>
      <c r="H127" s="16"/>
      <c r="I127" s="16"/>
      <c r="J127" s="16"/>
      <c r="K127" s="16"/>
      <c r="L127" s="16"/>
      <c r="M127" s="16"/>
    </row>
    <row r="128" ht="15.75" customHeight="1">
      <c r="A128" s="14">
        <v>3.0</v>
      </c>
      <c r="B128" s="16"/>
      <c r="C128" s="16"/>
      <c r="D128" s="14"/>
      <c r="E128" s="16"/>
      <c r="F128" s="16"/>
      <c r="G128" s="16"/>
      <c r="H128" s="16"/>
      <c r="I128" s="16"/>
      <c r="J128" s="16"/>
      <c r="K128" s="16"/>
      <c r="L128" s="16"/>
      <c r="M128" s="16"/>
    </row>
    <row r="129" ht="15.75" customHeight="1">
      <c r="A129" s="14">
        <v>4.0</v>
      </c>
      <c r="B129" s="16"/>
      <c r="C129" s="16"/>
      <c r="D129" s="14"/>
      <c r="E129" s="16"/>
      <c r="F129" s="16"/>
      <c r="G129" s="16"/>
      <c r="H129" s="16"/>
      <c r="I129" s="16"/>
      <c r="J129" s="16"/>
      <c r="K129" s="16"/>
      <c r="L129" s="16"/>
      <c r="M129" s="16"/>
    </row>
    <row r="130" ht="15.75" customHeight="1">
      <c r="A130" s="14">
        <v>5.0</v>
      </c>
      <c r="B130" s="16"/>
      <c r="C130" s="16"/>
      <c r="D130" s="14"/>
      <c r="E130" s="16"/>
      <c r="F130" s="16"/>
      <c r="G130" s="16"/>
      <c r="H130" s="16"/>
      <c r="I130" s="16"/>
      <c r="J130" s="16"/>
      <c r="K130" s="16"/>
      <c r="L130" s="16"/>
      <c r="M130" s="16"/>
    </row>
    <row r="131" ht="15.75" customHeight="1">
      <c r="A131" s="12" t="s">
        <v>168</v>
      </c>
      <c r="B131" s="13" t="s">
        <v>169</v>
      </c>
      <c r="C131" s="13"/>
      <c r="D131" s="19">
        <f>SUM(D132:D136)</f>
        <v>0</v>
      </c>
      <c r="E131" s="13"/>
      <c r="F131" s="13"/>
      <c r="G131" s="13"/>
      <c r="H131" s="13"/>
      <c r="I131" s="13"/>
      <c r="J131" s="13"/>
      <c r="K131" s="13"/>
      <c r="L131" s="13"/>
      <c r="M131" s="13"/>
    </row>
    <row r="132" ht="15.75" customHeight="1">
      <c r="A132" s="14">
        <v>1.0</v>
      </c>
      <c r="B132" s="16"/>
      <c r="C132" s="16"/>
      <c r="D132" s="14"/>
      <c r="E132" s="16"/>
      <c r="F132" s="16"/>
      <c r="G132" s="16"/>
      <c r="H132" s="16"/>
      <c r="I132" s="16"/>
      <c r="J132" s="16"/>
      <c r="K132" s="16"/>
      <c r="L132" s="16"/>
      <c r="M132" s="16"/>
    </row>
    <row r="133" ht="15.75" customHeight="1">
      <c r="A133" s="14">
        <v>2.0</v>
      </c>
      <c r="B133" s="16"/>
      <c r="C133" s="16"/>
      <c r="D133" s="14"/>
      <c r="E133" s="16"/>
      <c r="F133" s="16"/>
      <c r="G133" s="16"/>
      <c r="H133" s="16"/>
      <c r="I133" s="16"/>
      <c r="J133" s="16"/>
      <c r="K133" s="16"/>
      <c r="L133" s="16"/>
      <c r="M133" s="16"/>
    </row>
    <row r="134" ht="15.75" customHeight="1">
      <c r="A134" s="14">
        <v>3.0</v>
      </c>
      <c r="B134" s="16"/>
      <c r="C134" s="16"/>
      <c r="D134" s="14"/>
      <c r="E134" s="16"/>
      <c r="F134" s="16"/>
      <c r="G134" s="16"/>
      <c r="H134" s="16"/>
      <c r="I134" s="16"/>
      <c r="J134" s="16"/>
      <c r="K134" s="16"/>
      <c r="L134" s="16"/>
      <c r="M134" s="16"/>
    </row>
    <row r="135" ht="15.75" customHeight="1">
      <c r="A135" s="14">
        <v>4.0</v>
      </c>
      <c r="B135" s="16"/>
      <c r="C135" s="16"/>
      <c r="D135" s="14"/>
      <c r="E135" s="16"/>
      <c r="F135" s="16"/>
      <c r="G135" s="16"/>
      <c r="H135" s="16"/>
      <c r="I135" s="16"/>
      <c r="J135" s="16"/>
      <c r="K135" s="16"/>
      <c r="L135" s="16"/>
      <c r="M135" s="16"/>
    </row>
    <row r="136" ht="15.75" customHeight="1">
      <c r="A136" s="14">
        <v>5.0</v>
      </c>
      <c r="B136" s="16"/>
      <c r="C136" s="16"/>
      <c r="D136" s="14"/>
      <c r="E136" s="16"/>
      <c r="F136" s="16"/>
      <c r="G136" s="16"/>
      <c r="H136" s="16"/>
      <c r="I136" s="16"/>
      <c r="J136" s="16"/>
      <c r="K136" s="16"/>
      <c r="L136" s="16"/>
      <c r="M136" s="16"/>
    </row>
    <row r="137" ht="15.75" customHeight="1"/>
    <row r="138" ht="15.0" customHeight="1">
      <c r="H138" s="3"/>
    </row>
    <row r="139" ht="15.0" customHeight="1">
      <c r="A139" s="1"/>
      <c r="H139" s="1"/>
    </row>
    <row r="140" ht="15.0" customHeight="1">
      <c r="A140" s="22"/>
      <c r="H140" s="22"/>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L1"/>
    <mergeCell ref="A2:L2"/>
    <mergeCell ref="A3:L3"/>
    <mergeCell ref="A4:L4"/>
    <mergeCell ref="A5:L5"/>
    <mergeCell ref="A6:L6"/>
    <mergeCell ref="A7:L7"/>
    <mergeCell ref="C14:C15"/>
    <mergeCell ref="D14:D15"/>
    <mergeCell ref="A139:D139"/>
    <mergeCell ref="A140:D140"/>
    <mergeCell ref="E14:E15"/>
    <mergeCell ref="F14:F15"/>
    <mergeCell ref="G14:G15"/>
    <mergeCell ref="H14:H15"/>
    <mergeCell ref="I14:I15"/>
    <mergeCell ref="J14:J15"/>
    <mergeCell ref="M14:M15"/>
    <mergeCell ref="K14:K15"/>
    <mergeCell ref="L14:L15"/>
    <mergeCell ref="H138:L138"/>
    <mergeCell ref="H139:L139"/>
    <mergeCell ref="H140:L140"/>
    <mergeCell ref="A8:L8"/>
    <mergeCell ref="A9:L9"/>
    <mergeCell ref="A10:L10"/>
    <mergeCell ref="A11:L11"/>
    <mergeCell ref="A12:L12"/>
    <mergeCell ref="A14:A15"/>
    <mergeCell ref="B14:B15"/>
  </mergeCells>
  <dataValidations>
    <dataValidation type="list" allowBlank="1" sqref="I18:I22 I24:I28 I30:I34 I36:I40 I42:I46 I48:I52 I54:I58 I60:I64 I66:I70 I72:I76 I78:I82 I84:I88 I90:I94 I96:I100 I102:I106 I108:I112 I114:I118 I120:I124 I126:I130 I132:I136">
      <formula1>"Trong nước,Nước ngoài"</formula1>
    </dataValidation>
    <dataValidation type="list" allowBlank="1" showInputMessage="1" showErrorMessage="1" prompt="Giá trị không hợp lệ - Chọn một giá trị trong danh sách." sqref="C18:C22 C24:C28 C30:C34 C36:C40 C42:C46 C48:C52 C54:C58 C60:C64 C66:C70 C72:C76 C78:C82 C84:C88 C90:C94 C96:C100 C102:C106 C108:C112 C114:C118 C120:C124 C126:C130 C132:C136">
      <formula1>"Trí tuệ nhân tạo (AI),Bán dẫn,Dữ liệu,An ninh mạng,Công nghệ chiến lược khác"</formula1>
    </dataValidation>
    <dataValidation type="list" allowBlank="1" sqref="F18:F22 F24:F28 F30:F34 F36:F40 F42:F46 F48:F52 F54:F58 F60:F64 F66:F70 F72:F76 F78:F82 F84:F88 F90:F94 F96:F100 F102:F106 F108:F112 F114:F118 F120:F124 F126:F130 F132:F136">
      <formula1>"Đào tạo sau đại học,Bồi dưỡng ngắn hạn,Chứng chỉ quốc tế,Thực tập/làm việc tại doanh nghiệp/viện/trường,Khác"</formula1>
    </dataValidation>
    <dataValidation type="decimal" operator="greaterThanOrEqual" allowBlank="1" showInputMessage="1" showErrorMessage="1" prompt="Nhập số nguyên ≥ 0." sqref="D18:D22 D24:D28 D30:D34 D36:D40 D42:D46 D48:D52 D54:D58 D60:D64 D66:D70 D72:D76 D78:D82 D84:D88 D90:D94 D96:D100 D102:D106 D108:D112 D114:D118 D120:D124 D126:D130 D132:D136">
      <formula1>0.0</formula1>
    </dataValidation>
  </dataValidations>
  <printOptions/>
  <pageMargins bottom="0.5" footer="0.0" header="0.0" left="0.4" right="0.4" top="0.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26.0"/>
    <col customWidth="1" min="3" max="3" width="40.0"/>
    <col customWidth="1" min="4" max="4" width="26.0"/>
    <col customWidth="1" min="5" max="5" width="16.0"/>
    <col customWidth="1" min="6" max="6" width="26.0"/>
    <col customWidth="1" min="7" max="7" width="36.0"/>
    <col customWidth="1" min="8" max="8" width="18.0"/>
    <col customWidth="1" min="9" max="9" width="14.0"/>
    <col customWidth="1" min="10" max="10" width="18.71"/>
    <col customWidth="1" min="11" max="26" width="8.71"/>
  </cols>
  <sheetData>
    <row r="1" ht="15.0" customHeight="1">
      <c r="A1" s="1" t="s">
        <v>0</v>
      </c>
    </row>
    <row r="2" ht="36.0" customHeight="1">
      <c r="A2" s="2" t="s">
        <v>4</v>
      </c>
    </row>
    <row r="3" ht="15.0" customHeight="1">
      <c r="A3" s="3" t="s">
        <v>5</v>
      </c>
    </row>
    <row r="4" ht="15.0" customHeight="1">
      <c r="A4" s="4" t="s">
        <v>9</v>
      </c>
    </row>
    <row r="5">
      <c r="A5" s="5"/>
    </row>
    <row r="6">
      <c r="A6" s="6" t="s">
        <v>10</v>
      </c>
    </row>
    <row r="7">
      <c r="A7" s="7" t="s">
        <v>11</v>
      </c>
    </row>
    <row r="8" ht="63.0" customHeight="1">
      <c r="A8" s="8" t="s">
        <v>12</v>
      </c>
    </row>
    <row r="9" ht="33.0" customHeight="1">
      <c r="A9" s="8" t="s">
        <v>13</v>
      </c>
    </row>
    <row r="10" ht="33.0" customHeight="1">
      <c r="A10" s="8" t="s">
        <v>16</v>
      </c>
    </row>
    <row r="11" ht="33.0" customHeight="1">
      <c r="A11" s="8" t="s">
        <v>17</v>
      </c>
    </row>
    <row r="12" ht="18.0" customHeight="1">
      <c r="A12" s="8" t="s">
        <v>18</v>
      </c>
    </row>
    <row r="14" ht="39.75" customHeight="1">
      <c r="A14" s="9" t="s">
        <v>22</v>
      </c>
      <c r="B14" s="9" t="s">
        <v>27</v>
      </c>
      <c r="C14" s="9" t="s">
        <v>30</v>
      </c>
      <c r="D14" s="9" t="s">
        <v>33</v>
      </c>
      <c r="E14" s="9" t="s">
        <v>36</v>
      </c>
      <c r="F14" s="9" t="s">
        <v>39</v>
      </c>
      <c r="G14" s="9" t="s">
        <v>41</v>
      </c>
      <c r="H14" s="9" t="s">
        <v>45</v>
      </c>
      <c r="I14" s="9" t="s">
        <v>48</v>
      </c>
      <c r="J14" s="9" t="s">
        <v>50</v>
      </c>
    </row>
    <row r="15" ht="60.0" customHeight="1">
      <c r="A15" s="10"/>
      <c r="B15" s="10"/>
      <c r="C15" s="10"/>
      <c r="D15" s="10"/>
      <c r="E15" s="10"/>
      <c r="F15" s="10"/>
      <c r="G15" s="10"/>
      <c r="H15" s="10"/>
      <c r="I15" s="10"/>
      <c r="J15" s="10"/>
    </row>
    <row r="16">
      <c r="A16" s="11" t="s">
        <v>58</v>
      </c>
      <c r="B16" s="11" t="s">
        <v>61</v>
      </c>
      <c r="C16" s="11" t="s">
        <v>62</v>
      </c>
      <c r="D16" s="11" t="s">
        <v>63</v>
      </c>
      <c r="E16" s="11" t="s">
        <v>66</v>
      </c>
      <c r="F16" s="11" t="s">
        <v>67</v>
      </c>
      <c r="G16" s="11" t="s">
        <v>68</v>
      </c>
      <c r="H16" s="11" t="s">
        <v>70</v>
      </c>
      <c r="I16" s="11" t="s">
        <v>71</v>
      </c>
    </row>
    <row r="17">
      <c r="A17" s="12" t="s">
        <v>73</v>
      </c>
      <c r="B17" s="13" t="s">
        <v>76</v>
      </c>
      <c r="C17" s="13"/>
      <c r="D17" s="13"/>
      <c r="E17" s="13"/>
      <c r="F17" s="13"/>
      <c r="G17" s="13"/>
      <c r="H17" s="13"/>
      <c r="I17" s="13"/>
    </row>
    <row r="18" ht="36.0" customHeight="1">
      <c r="A18" s="14">
        <v>1.0</v>
      </c>
      <c r="B18" s="16"/>
      <c r="C18" s="16"/>
      <c r="D18" s="16"/>
      <c r="E18" s="16"/>
      <c r="F18" s="16"/>
      <c r="G18" s="16"/>
      <c r="H18" s="16"/>
      <c r="I18" s="16"/>
    </row>
    <row r="19" ht="36.0" customHeight="1">
      <c r="A19" s="14">
        <v>2.0</v>
      </c>
      <c r="B19" s="16"/>
      <c r="C19" s="16"/>
      <c r="D19" s="16"/>
      <c r="E19" s="16"/>
      <c r="F19" s="16"/>
      <c r="G19" s="16"/>
      <c r="H19" s="16"/>
      <c r="I19" s="16"/>
    </row>
    <row r="20" ht="36.0" customHeight="1">
      <c r="A20" s="14">
        <v>3.0</v>
      </c>
      <c r="B20" s="16"/>
      <c r="C20" s="16"/>
      <c r="D20" s="16"/>
      <c r="E20" s="16"/>
      <c r="F20" s="16"/>
      <c r="G20" s="16"/>
      <c r="H20" s="16"/>
      <c r="I20" s="16"/>
    </row>
    <row r="21" ht="36.0" customHeight="1">
      <c r="A21" s="14">
        <v>4.0</v>
      </c>
      <c r="B21" s="16"/>
      <c r="C21" s="16"/>
      <c r="D21" s="16"/>
      <c r="E21" s="16"/>
      <c r="F21" s="16"/>
      <c r="G21" s="16"/>
      <c r="H21" s="16"/>
      <c r="I21" s="16"/>
    </row>
    <row r="22" ht="36.0" customHeight="1">
      <c r="A22" s="14">
        <v>5.0</v>
      </c>
      <c r="B22" s="16"/>
      <c r="C22" s="16"/>
      <c r="D22" s="16"/>
      <c r="E22" s="16"/>
      <c r="F22" s="16"/>
      <c r="G22" s="16"/>
      <c r="H22" s="16"/>
      <c r="I22" s="16"/>
    </row>
    <row r="23" ht="15.75" customHeight="1">
      <c r="A23" s="12" t="s">
        <v>96</v>
      </c>
      <c r="B23" s="13" t="s">
        <v>97</v>
      </c>
      <c r="C23" s="13"/>
      <c r="D23" s="13"/>
      <c r="E23" s="13"/>
      <c r="F23" s="13"/>
      <c r="G23" s="13"/>
      <c r="H23" s="13"/>
      <c r="I23" s="13"/>
    </row>
    <row r="24" ht="36.0" customHeight="1">
      <c r="A24" s="14">
        <v>1.0</v>
      </c>
      <c r="B24" s="16"/>
      <c r="C24" s="16"/>
      <c r="D24" s="16"/>
      <c r="E24" s="16"/>
      <c r="F24" s="16"/>
      <c r="G24" s="16"/>
      <c r="H24" s="16"/>
      <c r="I24" s="16"/>
    </row>
    <row r="25" ht="36.0" customHeight="1">
      <c r="A25" s="14">
        <v>2.0</v>
      </c>
      <c r="B25" s="16"/>
      <c r="C25" s="16"/>
      <c r="D25" s="16"/>
      <c r="E25" s="16"/>
      <c r="F25" s="16"/>
      <c r="G25" s="16"/>
      <c r="H25" s="16"/>
      <c r="I25" s="16"/>
    </row>
    <row r="26" ht="36.0" customHeight="1">
      <c r="A26" s="14">
        <v>3.0</v>
      </c>
      <c r="B26" s="16"/>
      <c r="C26" s="16"/>
      <c r="D26" s="16"/>
      <c r="E26" s="16"/>
      <c r="F26" s="16"/>
      <c r="G26" s="16"/>
      <c r="H26" s="16"/>
      <c r="I26" s="16"/>
    </row>
    <row r="27" ht="36.0" customHeight="1">
      <c r="A27" s="14">
        <v>4.0</v>
      </c>
      <c r="B27" s="16"/>
      <c r="C27" s="16"/>
      <c r="D27" s="16"/>
      <c r="E27" s="16"/>
      <c r="F27" s="16"/>
      <c r="G27" s="16"/>
      <c r="H27" s="16"/>
      <c r="I27" s="16"/>
    </row>
    <row r="28" ht="36.0" customHeight="1">
      <c r="A28" s="14">
        <v>5.0</v>
      </c>
      <c r="B28" s="16"/>
      <c r="C28" s="16"/>
      <c r="D28" s="16"/>
      <c r="E28" s="16"/>
      <c r="F28" s="16"/>
      <c r="G28" s="16"/>
      <c r="H28" s="16"/>
      <c r="I28" s="16"/>
    </row>
    <row r="29" ht="15.75" customHeight="1">
      <c r="A29" s="12" t="s">
        <v>127</v>
      </c>
      <c r="B29" s="13" t="s">
        <v>129</v>
      </c>
      <c r="C29" s="13"/>
      <c r="D29" s="13"/>
      <c r="E29" s="13"/>
      <c r="F29" s="13"/>
      <c r="G29" s="13"/>
      <c r="H29" s="13"/>
      <c r="I29" s="13"/>
    </row>
    <row r="30" ht="36.0" customHeight="1">
      <c r="A30" s="14">
        <v>1.0</v>
      </c>
      <c r="B30" s="16"/>
      <c r="C30" s="16"/>
      <c r="D30" s="16"/>
      <c r="E30" s="16"/>
      <c r="F30" s="16"/>
      <c r="G30" s="16"/>
      <c r="H30" s="16"/>
      <c r="I30" s="16"/>
    </row>
    <row r="31" ht="36.0" customHeight="1">
      <c r="A31" s="14">
        <v>2.0</v>
      </c>
      <c r="B31" s="16"/>
      <c r="C31" s="16"/>
      <c r="D31" s="16"/>
      <c r="E31" s="16"/>
      <c r="F31" s="16"/>
      <c r="G31" s="16"/>
      <c r="H31" s="16"/>
      <c r="I31" s="16"/>
    </row>
    <row r="32" ht="36.0" customHeight="1">
      <c r="A32" s="14">
        <v>3.0</v>
      </c>
      <c r="B32" s="16"/>
      <c r="C32" s="16"/>
      <c r="D32" s="16"/>
      <c r="E32" s="16"/>
      <c r="F32" s="16"/>
      <c r="G32" s="16"/>
      <c r="H32" s="16"/>
      <c r="I32" s="16"/>
    </row>
    <row r="33" ht="36.0" customHeight="1">
      <c r="A33" s="14">
        <v>4.0</v>
      </c>
      <c r="B33" s="16"/>
      <c r="C33" s="16"/>
      <c r="D33" s="16"/>
      <c r="E33" s="16"/>
      <c r="F33" s="16"/>
      <c r="G33" s="16"/>
      <c r="H33" s="16"/>
      <c r="I33" s="16"/>
    </row>
    <row r="34" ht="36.0" customHeight="1">
      <c r="A34" s="14">
        <v>5.0</v>
      </c>
      <c r="B34" s="16"/>
      <c r="C34" s="16"/>
      <c r="D34" s="16"/>
      <c r="E34" s="16"/>
      <c r="F34" s="16"/>
      <c r="G34" s="16"/>
      <c r="H34" s="16"/>
      <c r="I34" s="16"/>
    </row>
    <row r="35" ht="15.75" customHeight="1">
      <c r="A35" s="12" t="s">
        <v>136</v>
      </c>
      <c r="B35" s="13" t="s">
        <v>137</v>
      </c>
      <c r="C35" s="13"/>
      <c r="D35" s="13"/>
      <c r="E35" s="13"/>
      <c r="F35" s="13"/>
      <c r="G35" s="13"/>
      <c r="H35" s="13"/>
      <c r="I35" s="13"/>
    </row>
    <row r="36" ht="36.0" customHeight="1">
      <c r="A36" s="14">
        <v>1.0</v>
      </c>
      <c r="B36" s="16"/>
      <c r="C36" s="16"/>
      <c r="D36" s="16"/>
      <c r="E36" s="16"/>
      <c r="F36" s="16"/>
      <c r="G36" s="16"/>
      <c r="H36" s="16"/>
      <c r="I36" s="16"/>
    </row>
    <row r="37" ht="36.0" customHeight="1">
      <c r="A37" s="14">
        <v>2.0</v>
      </c>
      <c r="B37" s="16"/>
      <c r="C37" s="16"/>
      <c r="D37" s="16"/>
      <c r="E37" s="16"/>
      <c r="F37" s="16"/>
      <c r="G37" s="16"/>
      <c r="H37" s="16"/>
      <c r="I37" s="16"/>
    </row>
    <row r="38" ht="36.0" customHeight="1">
      <c r="A38" s="14">
        <v>3.0</v>
      </c>
      <c r="B38" s="16"/>
      <c r="C38" s="16"/>
      <c r="D38" s="16"/>
      <c r="E38" s="16"/>
      <c r="F38" s="16"/>
      <c r="G38" s="16"/>
      <c r="H38" s="16"/>
      <c r="I38" s="16"/>
    </row>
    <row r="39" ht="36.0" customHeight="1">
      <c r="A39" s="14">
        <v>4.0</v>
      </c>
      <c r="B39" s="16"/>
      <c r="C39" s="16"/>
      <c r="D39" s="16"/>
      <c r="E39" s="16"/>
      <c r="F39" s="16"/>
      <c r="G39" s="16"/>
      <c r="H39" s="16"/>
      <c r="I39" s="16"/>
    </row>
    <row r="40" ht="36.0" customHeight="1">
      <c r="A40" s="14">
        <v>5.0</v>
      </c>
      <c r="B40" s="16"/>
      <c r="C40" s="16"/>
      <c r="D40" s="16"/>
      <c r="E40" s="16"/>
      <c r="F40" s="16"/>
      <c r="G40" s="16"/>
      <c r="H40" s="16"/>
      <c r="I40" s="16"/>
    </row>
    <row r="41" ht="15.75" customHeight="1">
      <c r="A41" s="12" t="s">
        <v>138</v>
      </c>
      <c r="B41" s="13" t="s">
        <v>139</v>
      </c>
      <c r="C41" s="13"/>
      <c r="D41" s="13"/>
      <c r="E41" s="13"/>
      <c r="F41" s="13"/>
      <c r="G41" s="13"/>
      <c r="H41" s="13"/>
      <c r="I41" s="13"/>
    </row>
    <row r="42" ht="36.0" customHeight="1">
      <c r="A42" s="14">
        <v>1.0</v>
      </c>
      <c r="B42" s="16"/>
      <c r="C42" s="16"/>
      <c r="D42" s="16"/>
      <c r="E42" s="16"/>
      <c r="F42" s="16"/>
      <c r="G42" s="16"/>
      <c r="H42" s="16"/>
      <c r="I42" s="16"/>
    </row>
    <row r="43" ht="36.0" customHeight="1">
      <c r="A43" s="14">
        <v>2.0</v>
      </c>
      <c r="B43" s="16"/>
      <c r="C43" s="16"/>
      <c r="D43" s="16"/>
      <c r="E43" s="16"/>
      <c r="F43" s="16"/>
      <c r="G43" s="16"/>
      <c r="H43" s="16"/>
      <c r="I43" s="16"/>
    </row>
    <row r="44" ht="36.0" customHeight="1">
      <c r="A44" s="14">
        <v>3.0</v>
      </c>
      <c r="B44" s="16"/>
      <c r="C44" s="16"/>
      <c r="D44" s="16"/>
      <c r="E44" s="16"/>
      <c r="F44" s="16"/>
      <c r="G44" s="16"/>
      <c r="H44" s="16"/>
      <c r="I44" s="16"/>
    </row>
    <row r="45" ht="36.0" customHeight="1">
      <c r="A45" s="14">
        <v>4.0</v>
      </c>
      <c r="B45" s="16"/>
      <c r="C45" s="16"/>
      <c r="D45" s="16"/>
      <c r="E45" s="16"/>
      <c r="F45" s="16"/>
      <c r="G45" s="16"/>
      <c r="H45" s="16"/>
      <c r="I45" s="16"/>
    </row>
    <row r="46" ht="36.0" customHeight="1">
      <c r="A46" s="14">
        <v>5.0</v>
      </c>
      <c r="B46" s="16"/>
      <c r="C46" s="16"/>
      <c r="D46" s="16"/>
      <c r="E46" s="16"/>
      <c r="F46" s="16"/>
      <c r="G46" s="16"/>
      <c r="H46" s="16"/>
      <c r="I46" s="16"/>
    </row>
    <row r="47" ht="15.75" customHeight="1">
      <c r="A47" s="12" t="s">
        <v>140</v>
      </c>
      <c r="B47" s="13" t="s">
        <v>141</v>
      </c>
      <c r="C47" s="13"/>
      <c r="D47" s="13"/>
      <c r="E47" s="13"/>
      <c r="F47" s="13"/>
      <c r="G47" s="13"/>
      <c r="H47" s="13"/>
      <c r="I47" s="13"/>
    </row>
    <row r="48" ht="36.0" customHeight="1">
      <c r="A48" s="14">
        <v>1.0</v>
      </c>
      <c r="B48" s="16"/>
      <c r="C48" s="16"/>
      <c r="D48" s="16"/>
      <c r="E48" s="16"/>
      <c r="F48" s="16"/>
      <c r="G48" s="16"/>
      <c r="H48" s="16"/>
      <c r="I48" s="16"/>
    </row>
    <row r="49" ht="36.0" customHeight="1">
      <c r="A49" s="14">
        <v>2.0</v>
      </c>
      <c r="B49" s="16"/>
      <c r="C49" s="16"/>
      <c r="D49" s="16"/>
      <c r="E49" s="16"/>
      <c r="F49" s="16"/>
      <c r="G49" s="16"/>
      <c r="H49" s="16"/>
      <c r="I49" s="16"/>
    </row>
    <row r="50" ht="36.0" customHeight="1">
      <c r="A50" s="14">
        <v>3.0</v>
      </c>
      <c r="B50" s="16"/>
      <c r="C50" s="16"/>
      <c r="D50" s="16"/>
      <c r="E50" s="16"/>
      <c r="F50" s="16"/>
      <c r="G50" s="16"/>
      <c r="H50" s="16"/>
      <c r="I50" s="16"/>
    </row>
    <row r="51" ht="36.0" customHeight="1">
      <c r="A51" s="14">
        <v>4.0</v>
      </c>
      <c r="B51" s="16"/>
      <c r="C51" s="16"/>
      <c r="D51" s="16"/>
      <c r="E51" s="16"/>
      <c r="F51" s="16"/>
      <c r="G51" s="16"/>
      <c r="H51" s="16"/>
      <c r="I51" s="16"/>
    </row>
    <row r="52" ht="36.0" customHeight="1">
      <c r="A52" s="14">
        <v>5.0</v>
      </c>
      <c r="B52" s="16"/>
      <c r="C52" s="16"/>
      <c r="D52" s="16"/>
      <c r="E52" s="16"/>
      <c r="F52" s="16"/>
      <c r="G52" s="16"/>
      <c r="H52" s="16"/>
      <c r="I52" s="16"/>
    </row>
    <row r="53" ht="15.75" customHeight="1">
      <c r="A53" s="12" t="s">
        <v>142</v>
      </c>
      <c r="B53" s="13" t="s">
        <v>143</v>
      </c>
      <c r="C53" s="13"/>
      <c r="D53" s="13"/>
      <c r="E53" s="13"/>
      <c r="F53" s="13"/>
      <c r="G53" s="13"/>
      <c r="H53" s="13"/>
      <c r="I53" s="13"/>
    </row>
    <row r="54" ht="36.0" customHeight="1">
      <c r="A54" s="14">
        <v>1.0</v>
      </c>
      <c r="B54" s="16"/>
      <c r="C54" s="16"/>
      <c r="D54" s="16"/>
      <c r="E54" s="16"/>
      <c r="F54" s="16"/>
      <c r="G54" s="16"/>
      <c r="H54" s="16"/>
      <c r="I54" s="16"/>
    </row>
    <row r="55" ht="36.0" customHeight="1">
      <c r="A55" s="14">
        <v>2.0</v>
      </c>
      <c r="B55" s="16"/>
      <c r="C55" s="16"/>
      <c r="D55" s="16"/>
      <c r="E55" s="16"/>
      <c r="F55" s="16"/>
      <c r="G55" s="16"/>
      <c r="H55" s="16"/>
      <c r="I55" s="16"/>
    </row>
    <row r="56" ht="36.0" customHeight="1">
      <c r="A56" s="14">
        <v>3.0</v>
      </c>
      <c r="B56" s="16"/>
      <c r="C56" s="16"/>
      <c r="D56" s="16"/>
      <c r="E56" s="16"/>
      <c r="F56" s="16"/>
      <c r="G56" s="16"/>
      <c r="H56" s="16"/>
      <c r="I56" s="16"/>
    </row>
    <row r="57" ht="36.0" customHeight="1">
      <c r="A57" s="14">
        <v>4.0</v>
      </c>
      <c r="B57" s="16"/>
      <c r="C57" s="16"/>
      <c r="D57" s="16"/>
      <c r="E57" s="16"/>
      <c r="F57" s="16"/>
      <c r="G57" s="16"/>
      <c r="H57" s="16"/>
      <c r="I57" s="16"/>
    </row>
    <row r="58" ht="36.0" customHeight="1">
      <c r="A58" s="14">
        <v>5.0</v>
      </c>
      <c r="B58" s="16"/>
      <c r="C58" s="16"/>
      <c r="D58" s="16"/>
      <c r="E58" s="16"/>
      <c r="F58" s="16"/>
      <c r="G58" s="16"/>
      <c r="H58" s="16"/>
      <c r="I58" s="16"/>
    </row>
    <row r="59" ht="15.75" customHeight="1">
      <c r="A59" s="12" t="s">
        <v>144</v>
      </c>
      <c r="B59" s="13" t="s">
        <v>145</v>
      </c>
      <c r="C59" s="13"/>
      <c r="D59" s="13"/>
      <c r="E59" s="13"/>
      <c r="F59" s="13"/>
      <c r="G59" s="13"/>
      <c r="H59" s="13"/>
      <c r="I59" s="13"/>
    </row>
    <row r="60" ht="36.0" customHeight="1">
      <c r="A60" s="14">
        <v>1.0</v>
      </c>
      <c r="B60" s="16"/>
      <c r="C60" s="16"/>
      <c r="D60" s="16"/>
      <c r="E60" s="16"/>
      <c r="F60" s="16"/>
      <c r="G60" s="16"/>
      <c r="H60" s="16"/>
      <c r="I60" s="16"/>
    </row>
    <row r="61" ht="36.0" customHeight="1">
      <c r="A61" s="14">
        <v>2.0</v>
      </c>
      <c r="B61" s="16"/>
      <c r="C61" s="16"/>
      <c r="D61" s="16"/>
      <c r="E61" s="16"/>
      <c r="F61" s="16"/>
      <c r="G61" s="16"/>
      <c r="H61" s="16"/>
      <c r="I61" s="16"/>
    </row>
    <row r="62" ht="36.0" customHeight="1">
      <c r="A62" s="14">
        <v>3.0</v>
      </c>
      <c r="B62" s="16"/>
      <c r="C62" s="16"/>
      <c r="D62" s="16"/>
      <c r="E62" s="16"/>
      <c r="F62" s="16"/>
      <c r="G62" s="16"/>
      <c r="H62" s="16"/>
      <c r="I62" s="16"/>
    </row>
    <row r="63" ht="36.0" customHeight="1">
      <c r="A63" s="14">
        <v>4.0</v>
      </c>
      <c r="B63" s="16"/>
      <c r="C63" s="16"/>
      <c r="D63" s="16"/>
      <c r="E63" s="16"/>
      <c r="F63" s="16"/>
      <c r="G63" s="16"/>
      <c r="H63" s="16"/>
      <c r="I63" s="16"/>
    </row>
    <row r="64" ht="36.0" customHeight="1">
      <c r="A64" s="14">
        <v>5.0</v>
      </c>
      <c r="B64" s="16"/>
      <c r="C64" s="16"/>
      <c r="D64" s="16"/>
      <c r="E64" s="16"/>
      <c r="F64" s="16"/>
      <c r="G64" s="16"/>
      <c r="H64" s="16"/>
      <c r="I64" s="16"/>
    </row>
    <row r="65" ht="15.75" customHeight="1">
      <c r="A65" s="12" t="s">
        <v>146</v>
      </c>
      <c r="B65" s="13" t="s">
        <v>147</v>
      </c>
      <c r="C65" s="13"/>
      <c r="D65" s="13"/>
      <c r="E65" s="13"/>
      <c r="F65" s="13"/>
      <c r="G65" s="13"/>
      <c r="H65" s="13"/>
      <c r="I65" s="13"/>
    </row>
    <row r="66" ht="36.0" customHeight="1">
      <c r="A66" s="14">
        <v>1.0</v>
      </c>
      <c r="B66" s="16"/>
      <c r="C66" s="16"/>
      <c r="D66" s="16"/>
      <c r="E66" s="16"/>
      <c r="F66" s="16"/>
      <c r="G66" s="16"/>
      <c r="H66" s="16"/>
      <c r="I66" s="16"/>
    </row>
    <row r="67" ht="36.0" customHeight="1">
      <c r="A67" s="14">
        <v>2.0</v>
      </c>
      <c r="B67" s="16"/>
      <c r="C67" s="16"/>
      <c r="D67" s="16"/>
      <c r="E67" s="16"/>
      <c r="F67" s="16"/>
      <c r="G67" s="16"/>
      <c r="H67" s="16"/>
      <c r="I67" s="16"/>
    </row>
    <row r="68" ht="36.0" customHeight="1">
      <c r="A68" s="14">
        <v>3.0</v>
      </c>
      <c r="B68" s="16"/>
      <c r="C68" s="16"/>
      <c r="D68" s="16"/>
      <c r="E68" s="16"/>
      <c r="F68" s="16"/>
      <c r="G68" s="16"/>
      <c r="H68" s="16"/>
      <c r="I68" s="16"/>
    </row>
    <row r="69" ht="36.0" customHeight="1">
      <c r="A69" s="14">
        <v>4.0</v>
      </c>
      <c r="B69" s="16"/>
      <c r="C69" s="16"/>
      <c r="D69" s="16"/>
      <c r="E69" s="16"/>
      <c r="F69" s="16"/>
      <c r="G69" s="16"/>
      <c r="H69" s="16"/>
      <c r="I69" s="16"/>
    </row>
    <row r="70" ht="36.0" customHeight="1">
      <c r="A70" s="14">
        <v>5.0</v>
      </c>
      <c r="B70" s="16"/>
      <c r="C70" s="16"/>
      <c r="D70" s="16"/>
      <c r="E70" s="16"/>
      <c r="F70" s="16"/>
      <c r="G70" s="16"/>
      <c r="H70" s="16"/>
      <c r="I70" s="16"/>
    </row>
    <row r="71" ht="15.75" customHeight="1">
      <c r="A71" s="12" t="s">
        <v>148</v>
      </c>
      <c r="B71" s="13" t="s">
        <v>149</v>
      </c>
      <c r="C71" s="13"/>
      <c r="D71" s="13"/>
      <c r="E71" s="13"/>
      <c r="F71" s="13"/>
      <c r="G71" s="13"/>
      <c r="H71" s="13"/>
      <c r="I71" s="13"/>
    </row>
    <row r="72" ht="36.0" customHeight="1">
      <c r="A72" s="14">
        <v>1.0</v>
      </c>
      <c r="B72" s="16"/>
      <c r="C72" s="16"/>
      <c r="D72" s="16"/>
      <c r="E72" s="16"/>
      <c r="F72" s="16"/>
      <c r="G72" s="16"/>
      <c r="H72" s="16"/>
      <c r="I72" s="16"/>
    </row>
    <row r="73" ht="36.0" customHeight="1">
      <c r="A73" s="14">
        <v>2.0</v>
      </c>
      <c r="B73" s="16"/>
      <c r="C73" s="16"/>
      <c r="D73" s="16"/>
      <c r="E73" s="16"/>
      <c r="F73" s="16"/>
      <c r="G73" s="16"/>
      <c r="H73" s="16"/>
      <c r="I73" s="16"/>
    </row>
    <row r="74" ht="36.0" customHeight="1">
      <c r="A74" s="14">
        <v>3.0</v>
      </c>
      <c r="B74" s="16"/>
      <c r="C74" s="16"/>
      <c r="D74" s="16"/>
      <c r="E74" s="16"/>
      <c r="F74" s="16"/>
      <c r="G74" s="16"/>
      <c r="H74" s="16"/>
      <c r="I74" s="16"/>
    </row>
    <row r="75" ht="36.0" customHeight="1">
      <c r="A75" s="14">
        <v>4.0</v>
      </c>
      <c r="B75" s="16"/>
      <c r="C75" s="16"/>
      <c r="D75" s="16"/>
      <c r="E75" s="16"/>
      <c r="F75" s="16"/>
      <c r="G75" s="16"/>
      <c r="H75" s="16"/>
      <c r="I75" s="16"/>
    </row>
    <row r="76" ht="36.0" customHeight="1">
      <c r="A76" s="14">
        <v>5.0</v>
      </c>
      <c r="B76" s="16"/>
      <c r="C76" s="16"/>
      <c r="D76" s="16"/>
      <c r="E76" s="16"/>
      <c r="F76" s="16"/>
      <c r="G76" s="16"/>
      <c r="H76" s="16"/>
      <c r="I76" s="16"/>
    </row>
    <row r="77" ht="15.75" customHeight="1">
      <c r="A77" s="12" t="s">
        <v>150</v>
      </c>
      <c r="B77" s="13" t="s">
        <v>151</v>
      </c>
      <c r="C77" s="13"/>
      <c r="D77" s="13"/>
      <c r="E77" s="13"/>
      <c r="F77" s="13"/>
      <c r="G77" s="13"/>
      <c r="H77" s="13"/>
      <c r="I77" s="13"/>
    </row>
    <row r="78" ht="36.0" customHeight="1">
      <c r="A78" s="14">
        <v>1.0</v>
      </c>
      <c r="B78" s="16"/>
      <c r="C78" s="16"/>
      <c r="D78" s="16"/>
      <c r="E78" s="16"/>
      <c r="F78" s="16"/>
      <c r="G78" s="16"/>
      <c r="H78" s="16"/>
      <c r="I78" s="16"/>
    </row>
    <row r="79" ht="36.0" customHeight="1">
      <c r="A79" s="14">
        <v>2.0</v>
      </c>
      <c r="B79" s="16"/>
      <c r="C79" s="16"/>
      <c r="D79" s="16"/>
      <c r="E79" s="16"/>
      <c r="F79" s="16"/>
      <c r="G79" s="16"/>
      <c r="H79" s="16"/>
      <c r="I79" s="16"/>
    </row>
    <row r="80" ht="36.0" customHeight="1">
      <c r="A80" s="14">
        <v>3.0</v>
      </c>
      <c r="B80" s="16"/>
      <c r="C80" s="16"/>
      <c r="D80" s="16"/>
      <c r="E80" s="16"/>
      <c r="F80" s="16"/>
      <c r="G80" s="16"/>
      <c r="H80" s="16"/>
      <c r="I80" s="16"/>
    </row>
    <row r="81" ht="36.0" customHeight="1">
      <c r="A81" s="14">
        <v>4.0</v>
      </c>
      <c r="B81" s="16"/>
      <c r="C81" s="16"/>
      <c r="D81" s="16"/>
      <c r="E81" s="16"/>
      <c r="F81" s="16"/>
      <c r="G81" s="16"/>
      <c r="H81" s="16"/>
      <c r="I81" s="16"/>
    </row>
    <row r="82" ht="36.0" customHeight="1">
      <c r="A82" s="14">
        <v>5.0</v>
      </c>
      <c r="B82" s="16"/>
      <c r="C82" s="16"/>
      <c r="D82" s="16"/>
      <c r="E82" s="16"/>
      <c r="F82" s="16"/>
      <c r="G82" s="16"/>
      <c r="H82" s="16"/>
      <c r="I82" s="16"/>
    </row>
    <row r="83" ht="15.75" customHeight="1">
      <c r="A83" s="12" t="s">
        <v>152</v>
      </c>
      <c r="B83" s="13" t="s">
        <v>153</v>
      </c>
      <c r="C83" s="13"/>
      <c r="D83" s="13"/>
      <c r="E83" s="13"/>
      <c r="F83" s="13"/>
      <c r="G83" s="13"/>
      <c r="H83" s="13"/>
      <c r="I83" s="13"/>
    </row>
    <row r="84" ht="36.0" customHeight="1">
      <c r="A84" s="14">
        <v>1.0</v>
      </c>
      <c r="B84" s="16"/>
      <c r="C84" s="16"/>
      <c r="D84" s="16"/>
      <c r="E84" s="16"/>
      <c r="F84" s="16"/>
      <c r="G84" s="16"/>
      <c r="H84" s="16"/>
      <c r="I84" s="16"/>
    </row>
    <row r="85" ht="36.0" customHeight="1">
      <c r="A85" s="14">
        <v>2.0</v>
      </c>
      <c r="B85" s="16"/>
      <c r="C85" s="16"/>
      <c r="D85" s="16"/>
      <c r="E85" s="16"/>
      <c r="F85" s="16"/>
      <c r="G85" s="16"/>
      <c r="H85" s="16"/>
      <c r="I85" s="16"/>
    </row>
    <row r="86" ht="36.0" customHeight="1">
      <c r="A86" s="14">
        <v>3.0</v>
      </c>
      <c r="B86" s="16"/>
      <c r="C86" s="16"/>
      <c r="D86" s="16"/>
      <c r="E86" s="16"/>
      <c r="F86" s="16"/>
      <c r="G86" s="16"/>
      <c r="H86" s="16"/>
      <c r="I86" s="16"/>
    </row>
    <row r="87" ht="36.0" customHeight="1">
      <c r="A87" s="14">
        <v>4.0</v>
      </c>
      <c r="B87" s="16"/>
      <c r="C87" s="16"/>
      <c r="D87" s="16"/>
      <c r="E87" s="16"/>
      <c r="F87" s="16"/>
      <c r="G87" s="16"/>
      <c r="H87" s="16"/>
      <c r="I87" s="16"/>
    </row>
    <row r="88" ht="36.0" customHeight="1">
      <c r="A88" s="14">
        <v>5.0</v>
      </c>
      <c r="B88" s="16"/>
      <c r="C88" s="16"/>
      <c r="D88" s="16"/>
      <c r="E88" s="16"/>
      <c r="F88" s="16"/>
      <c r="G88" s="16"/>
      <c r="H88" s="16"/>
      <c r="I88" s="16"/>
    </row>
    <row r="89" ht="15.75" customHeight="1">
      <c r="A89" s="12" t="s">
        <v>154</v>
      </c>
      <c r="B89" s="13" t="s">
        <v>155</v>
      </c>
      <c r="C89" s="13"/>
      <c r="D89" s="13"/>
      <c r="E89" s="13"/>
      <c r="F89" s="13"/>
      <c r="G89" s="13"/>
      <c r="H89" s="13"/>
      <c r="I89" s="13"/>
    </row>
    <row r="90" ht="36.0" customHeight="1">
      <c r="A90" s="14">
        <v>1.0</v>
      </c>
      <c r="B90" s="16"/>
      <c r="C90" s="16"/>
      <c r="D90" s="16"/>
      <c r="E90" s="16"/>
      <c r="F90" s="16"/>
      <c r="G90" s="16"/>
      <c r="H90" s="16"/>
      <c r="I90" s="16"/>
    </row>
    <row r="91" ht="36.0" customHeight="1">
      <c r="A91" s="14">
        <v>2.0</v>
      </c>
      <c r="B91" s="16"/>
      <c r="C91" s="16"/>
      <c r="D91" s="16"/>
      <c r="E91" s="16"/>
      <c r="F91" s="16"/>
      <c r="G91" s="16"/>
      <c r="H91" s="16"/>
      <c r="I91" s="16"/>
    </row>
    <row r="92" ht="36.0" customHeight="1">
      <c r="A92" s="14">
        <v>3.0</v>
      </c>
      <c r="B92" s="16"/>
      <c r="C92" s="16"/>
      <c r="D92" s="16"/>
      <c r="E92" s="16"/>
      <c r="F92" s="16"/>
      <c r="G92" s="16"/>
      <c r="H92" s="16"/>
      <c r="I92" s="16"/>
    </row>
    <row r="93" ht="36.0" customHeight="1">
      <c r="A93" s="14">
        <v>4.0</v>
      </c>
      <c r="B93" s="16"/>
      <c r="C93" s="16"/>
      <c r="D93" s="16"/>
      <c r="E93" s="16"/>
      <c r="F93" s="16"/>
      <c r="G93" s="16"/>
      <c r="H93" s="16"/>
      <c r="I93" s="16"/>
    </row>
    <row r="94" ht="36.0" customHeight="1">
      <c r="A94" s="14">
        <v>5.0</v>
      </c>
      <c r="B94" s="16"/>
      <c r="C94" s="16"/>
      <c r="D94" s="16"/>
      <c r="E94" s="16"/>
      <c r="F94" s="16"/>
      <c r="G94" s="16"/>
      <c r="H94" s="16"/>
      <c r="I94" s="16"/>
    </row>
    <row r="95" ht="15.75" customHeight="1">
      <c r="A95" s="12" t="s">
        <v>156</v>
      </c>
      <c r="B95" s="13" t="s">
        <v>157</v>
      </c>
      <c r="C95" s="13"/>
      <c r="D95" s="13"/>
      <c r="E95" s="13"/>
      <c r="F95" s="13"/>
      <c r="G95" s="13"/>
      <c r="H95" s="13"/>
      <c r="I95" s="13"/>
    </row>
    <row r="96" ht="36.0" customHeight="1">
      <c r="A96" s="14">
        <v>1.0</v>
      </c>
      <c r="B96" s="16"/>
      <c r="C96" s="16"/>
      <c r="D96" s="16"/>
      <c r="E96" s="16"/>
      <c r="F96" s="16"/>
      <c r="G96" s="16"/>
      <c r="H96" s="16"/>
      <c r="I96" s="16"/>
    </row>
    <row r="97" ht="36.0" customHeight="1">
      <c r="A97" s="14">
        <v>2.0</v>
      </c>
      <c r="B97" s="16"/>
      <c r="C97" s="16"/>
      <c r="D97" s="16"/>
      <c r="E97" s="16"/>
      <c r="F97" s="16"/>
      <c r="G97" s="16"/>
      <c r="H97" s="16"/>
      <c r="I97" s="16"/>
    </row>
    <row r="98" ht="36.0" customHeight="1">
      <c r="A98" s="14">
        <v>3.0</v>
      </c>
      <c r="B98" s="16"/>
      <c r="C98" s="16"/>
      <c r="D98" s="16"/>
      <c r="E98" s="16"/>
      <c r="F98" s="16"/>
      <c r="G98" s="16"/>
      <c r="H98" s="16"/>
      <c r="I98" s="16"/>
    </row>
    <row r="99" ht="36.0" customHeight="1">
      <c r="A99" s="14">
        <v>4.0</v>
      </c>
      <c r="B99" s="16"/>
      <c r="C99" s="16"/>
      <c r="D99" s="16"/>
      <c r="E99" s="16"/>
      <c r="F99" s="16"/>
      <c r="G99" s="16"/>
      <c r="H99" s="16"/>
      <c r="I99" s="16"/>
    </row>
    <row r="100" ht="36.0" customHeight="1">
      <c r="A100" s="14">
        <v>5.0</v>
      </c>
      <c r="B100" s="16"/>
      <c r="C100" s="16"/>
      <c r="D100" s="16"/>
      <c r="E100" s="16"/>
      <c r="F100" s="16"/>
      <c r="G100" s="16"/>
      <c r="H100" s="16"/>
      <c r="I100" s="16"/>
    </row>
    <row r="101" ht="15.75" customHeight="1">
      <c r="A101" s="12" t="s">
        <v>158</v>
      </c>
      <c r="B101" s="13" t="s">
        <v>159</v>
      </c>
      <c r="C101" s="13"/>
      <c r="D101" s="13"/>
      <c r="E101" s="13"/>
      <c r="F101" s="13"/>
      <c r="G101" s="13"/>
      <c r="H101" s="13"/>
      <c r="I101" s="13"/>
    </row>
    <row r="102" ht="36.0" customHeight="1">
      <c r="A102" s="14">
        <v>1.0</v>
      </c>
      <c r="B102" s="16"/>
      <c r="C102" s="16"/>
      <c r="D102" s="16"/>
      <c r="E102" s="16"/>
      <c r="F102" s="16"/>
      <c r="G102" s="16"/>
      <c r="H102" s="16"/>
      <c r="I102" s="16"/>
    </row>
    <row r="103" ht="36.0" customHeight="1">
      <c r="A103" s="14">
        <v>2.0</v>
      </c>
      <c r="B103" s="16"/>
      <c r="C103" s="16"/>
      <c r="D103" s="16"/>
      <c r="E103" s="16"/>
      <c r="F103" s="16"/>
      <c r="G103" s="16"/>
      <c r="H103" s="16"/>
      <c r="I103" s="16"/>
    </row>
    <row r="104" ht="36.0" customHeight="1">
      <c r="A104" s="14">
        <v>3.0</v>
      </c>
      <c r="B104" s="16"/>
      <c r="C104" s="16"/>
      <c r="D104" s="16"/>
      <c r="E104" s="16"/>
      <c r="F104" s="16"/>
      <c r="G104" s="16"/>
      <c r="H104" s="16"/>
      <c r="I104" s="16"/>
    </row>
    <row r="105" ht="36.0" customHeight="1">
      <c r="A105" s="14">
        <v>4.0</v>
      </c>
      <c r="B105" s="16"/>
      <c r="C105" s="16"/>
      <c r="D105" s="16"/>
      <c r="E105" s="16"/>
      <c r="F105" s="16"/>
      <c r="G105" s="16"/>
      <c r="H105" s="16"/>
      <c r="I105" s="16"/>
    </row>
    <row r="106" ht="36.0" customHeight="1">
      <c r="A106" s="14">
        <v>5.0</v>
      </c>
      <c r="B106" s="16"/>
      <c r="C106" s="16"/>
      <c r="D106" s="16"/>
      <c r="E106" s="16"/>
      <c r="F106" s="16"/>
      <c r="G106" s="16"/>
      <c r="H106" s="16"/>
      <c r="I106" s="16"/>
    </row>
    <row r="107" ht="15.75" customHeight="1">
      <c r="A107" s="12" t="s">
        <v>160</v>
      </c>
      <c r="B107" s="13" t="s">
        <v>161</v>
      </c>
      <c r="C107" s="13"/>
      <c r="D107" s="13"/>
      <c r="E107" s="13"/>
      <c r="F107" s="13"/>
      <c r="G107" s="13"/>
      <c r="H107" s="13"/>
      <c r="I107" s="13"/>
    </row>
    <row r="108" ht="36.0" customHeight="1">
      <c r="A108" s="14">
        <v>1.0</v>
      </c>
      <c r="B108" s="16"/>
      <c r="C108" s="16"/>
      <c r="D108" s="16"/>
      <c r="E108" s="16"/>
      <c r="F108" s="16"/>
      <c r="G108" s="16"/>
      <c r="H108" s="16"/>
      <c r="I108" s="16"/>
    </row>
    <row r="109" ht="36.0" customHeight="1">
      <c r="A109" s="14">
        <v>2.0</v>
      </c>
      <c r="B109" s="16"/>
      <c r="C109" s="16"/>
      <c r="D109" s="16"/>
      <c r="E109" s="16"/>
      <c r="F109" s="16"/>
      <c r="G109" s="16"/>
      <c r="H109" s="16"/>
      <c r="I109" s="16"/>
    </row>
    <row r="110" ht="36.0" customHeight="1">
      <c r="A110" s="14">
        <v>3.0</v>
      </c>
      <c r="B110" s="16"/>
      <c r="C110" s="16"/>
      <c r="D110" s="16"/>
      <c r="E110" s="16"/>
      <c r="F110" s="16"/>
      <c r="G110" s="16"/>
      <c r="H110" s="16"/>
      <c r="I110" s="16"/>
    </row>
    <row r="111" ht="36.0" customHeight="1">
      <c r="A111" s="14">
        <v>4.0</v>
      </c>
      <c r="B111" s="16"/>
      <c r="C111" s="16"/>
      <c r="D111" s="16"/>
      <c r="E111" s="16"/>
      <c r="F111" s="16"/>
      <c r="G111" s="16"/>
      <c r="H111" s="16"/>
      <c r="I111" s="16"/>
    </row>
    <row r="112" ht="36.0" customHeight="1">
      <c r="A112" s="14">
        <v>5.0</v>
      </c>
      <c r="B112" s="16"/>
      <c r="C112" s="16"/>
      <c r="D112" s="16"/>
      <c r="E112" s="16"/>
      <c r="F112" s="16"/>
      <c r="G112" s="16"/>
      <c r="H112" s="16"/>
      <c r="I112" s="16"/>
    </row>
    <row r="113" ht="15.75" customHeight="1">
      <c r="A113" s="12" t="s">
        <v>162</v>
      </c>
      <c r="B113" s="13" t="s">
        <v>163</v>
      </c>
      <c r="C113" s="13"/>
      <c r="D113" s="13"/>
      <c r="E113" s="13"/>
      <c r="F113" s="13"/>
      <c r="G113" s="13"/>
      <c r="H113" s="13"/>
      <c r="I113" s="13"/>
    </row>
    <row r="114" ht="36.0" customHeight="1">
      <c r="A114" s="14">
        <v>1.0</v>
      </c>
      <c r="B114" s="16"/>
      <c r="C114" s="16"/>
      <c r="D114" s="16"/>
      <c r="E114" s="16"/>
      <c r="F114" s="16"/>
      <c r="G114" s="16"/>
      <c r="H114" s="16"/>
      <c r="I114" s="16"/>
    </row>
    <row r="115" ht="36.0" customHeight="1">
      <c r="A115" s="14">
        <v>2.0</v>
      </c>
      <c r="B115" s="16"/>
      <c r="C115" s="16"/>
      <c r="D115" s="16"/>
      <c r="E115" s="16"/>
      <c r="F115" s="16"/>
      <c r="G115" s="16"/>
      <c r="H115" s="16"/>
      <c r="I115" s="16"/>
    </row>
    <row r="116" ht="36.0" customHeight="1">
      <c r="A116" s="14">
        <v>3.0</v>
      </c>
      <c r="B116" s="16"/>
      <c r="C116" s="16"/>
      <c r="D116" s="16"/>
      <c r="E116" s="16"/>
      <c r="F116" s="16"/>
      <c r="G116" s="16"/>
      <c r="H116" s="16"/>
      <c r="I116" s="16"/>
    </row>
    <row r="117" ht="36.0" customHeight="1">
      <c r="A117" s="14">
        <v>4.0</v>
      </c>
      <c r="B117" s="16"/>
      <c r="C117" s="16"/>
      <c r="D117" s="16"/>
      <c r="E117" s="16"/>
      <c r="F117" s="16"/>
      <c r="G117" s="16"/>
      <c r="H117" s="16"/>
      <c r="I117" s="16"/>
    </row>
    <row r="118" ht="36.0" customHeight="1">
      <c r="A118" s="14">
        <v>5.0</v>
      </c>
      <c r="B118" s="16"/>
      <c r="C118" s="16"/>
      <c r="D118" s="16"/>
      <c r="E118" s="16"/>
      <c r="F118" s="16"/>
      <c r="G118" s="16"/>
      <c r="H118" s="16"/>
      <c r="I118" s="16"/>
    </row>
    <row r="119" ht="15.75" customHeight="1">
      <c r="A119" s="12" t="s">
        <v>164</v>
      </c>
      <c r="B119" s="13" t="s">
        <v>165</v>
      </c>
      <c r="C119" s="13"/>
      <c r="D119" s="13"/>
      <c r="E119" s="13"/>
      <c r="F119" s="13"/>
      <c r="G119" s="13"/>
      <c r="H119" s="13"/>
      <c r="I119" s="13"/>
    </row>
    <row r="120" ht="36.0" customHeight="1">
      <c r="A120" s="14">
        <v>1.0</v>
      </c>
      <c r="B120" s="16"/>
      <c r="C120" s="16"/>
      <c r="D120" s="16"/>
      <c r="E120" s="16"/>
      <c r="F120" s="16"/>
      <c r="G120" s="16"/>
      <c r="H120" s="16"/>
      <c r="I120" s="16"/>
    </row>
    <row r="121" ht="36.0" customHeight="1">
      <c r="A121" s="14">
        <v>2.0</v>
      </c>
      <c r="B121" s="16"/>
      <c r="C121" s="16"/>
      <c r="D121" s="16"/>
      <c r="E121" s="16"/>
      <c r="F121" s="16"/>
      <c r="G121" s="16"/>
      <c r="H121" s="16"/>
      <c r="I121" s="16"/>
    </row>
    <row r="122" ht="36.0" customHeight="1">
      <c r="A122" s="14">
        <v>3.0</v>
      </c>
      <c r="B122" s="16"/>
      <c r="C122" s="16"/>
      <c r="D122" s="16"/>
      <c r="E122" s="16"/>
      <c r="F122" s="16"/>
      <c r="G122" s="16"/>
      <c r="H122" s="16"/>
      <c r="I122" s="16"/>
    </row>
    <row r="123" ht="36.0" customHeight="1">
      <c r="A123" s="14">
        <v>4.0</v>
      </c>
      <c r="B123" s="16"/>
      <c r="C123" s="16"/>
      <c r="D123" s="16"/>
      <c r="E123" s="16"/>
      <c r="F123" s="16"/>
      <c r="G123" s="16"/>
      <c r="H123" s="16"/>
      <c r="I123" s="16"/>
    </row>
    <row r="124" ht="36.0" customHeight="1">
      <c r="A124" s="14">
        <v>5.0</v>
      </c>
      <c r="B124" s="16"/>
      <c r="C124" s="16"/>
      <c r="D124" s="16"/>
      <c r="E124" s="16"/>
      <c r="F124" s="16"/>
      <c r="G124" s="16"/>
      <c r="H124" s="16"/>
      <c r="I124" s="16"/>
    </row>
    <row r="125" ht="15.75" customHeight="1">
      <c r="A125" s="12" t="s">
        <v>166</v>
      </c>
      <c r="B125" s="13" t="s">
        <v>167</v>
      </c>
      <c r="C125" s="13"/>
      <c r="D125" s="13"/>
      <c r="E125" s="13"/>
      <c r="F125" s="13"/>
      <c r="G125" s="13"/>
      <c r="H125" s="13"/>
      <c r="I125" s="13"/>
    </row>
    <row r="126" ht="36.0" customHeight="1">
      <c r="A126" s="14">
        <v>1.0</v>
      </c>
      <c r="B126" s="16"/>
      <c r="C126" s="16"/>
      <c r="D126" s="16"/>
      <c r="E126" s="16"/>
      <c r="F126" s="16"/>
      <c r="G126" s="16"/>
      <c r="H126" s="16"/>
      <c r="I126" s="16"/>
    </row>
    <row r="127" ht="36.0" customHeight="1">
      <c r="A127" s="14">
        <v>2.0</v>
      </c>
      <c r="B127" s="16"/>
      <c r="C127" s="16"/>
      <c r="D127" s="16"/>
      <c r="E127" s="16"/>
      <c r="F127" s="16"/>
      <c r="G127" s="16"/>
      <c r="H127" s="16"/>
      <c r="I127" s="16"/>
    </row>
    <row r="128" ht="36.0" customHeight="1">
      <c r="A128" s="14">
        <v>3.0</v>
      </c>
      <c r="B128" s="16"/>
      <c r="C128" s="16"/>
      <c r="D128" s="16"/>
      <c r="E128" s="16"/>
      <c r="F128" s="16"/>
      <c r="G128" s="16"/>
      <c r="H128" s="16"/>
      <c r="I128" s="16"/>
    </row>
    <row r="129" ht="36.0" customHeight="1">
      <c r="A129" s="14">
        <v>4.0</v>
      </c>
      <c r="B129" s="16"/>
      <c r="C129" s="16"/>
      <c r="D129" s="16"/>
      <c r="E129" s="16"/>
      <c r="F129" s="16"/>
      <c r="G129" s="16"/>
      <c r="H129" s="16"/>
      <c r="I129" s="16"/>
    </row>
    <row r="130" ht="36.0" customHeight="1">
      <c r="A130" s="14">
        <v>5.0</v>
      </c>
      <c r="B130" s="16"/>
      <c r="C130" s="16"/>
      <c r="D130" s="16"/>
      <c r="E130" s="16"/>
      <c r="F130" s="16"/>
      <c r="G130" s="16"/>
      <c r="H130" s="16"/>
      <c r="I130" s="16"/>
    </row>
    <row r="131" ht="15.75" customHeight="1">
      <c r="A131" s="12" t="s">
        <v>168</v>
      </c>
      <c r="B131" s="13" t="s">
        <v>169</v>
      </c>
      <c r="C131" s="13"/>
      <c r="D131" s="13"/>
      <c r="E131" s="13"/>
      <c r="F131" s="13"/>
      <c r="G131" s="13"/>
      <c r="H131" s="13"/>
      <c r="I131" s="13"/>
    </row>
    <row r="132" ht="36.0" customHeight="1">
      <c r="A132" s="14">
        <v>1.0</v>
      </c>
      <c r="B132" s="16"/>
      <c r="C132" s="16"/>
      <c r="D132" s="16"/>
      <c r="E132" s="16"/>
      <c r="F132" s="16"/>
      <c r="G132" s="16"/>
      <c r="H132" s="16"/>
      <c r="I132" s="16"/>
    </row>
    <row r="133" ht="36.0" customHeight="1">
      <c r="A133" s="14">
        <v>2.0</v>
      </c>
      <c r="B133" s="16"/>
      <c r="C133" s="16"/>
      <c r="D133" s="16"/>
      <c r="E133" s="16"/>
      <c r="F133" s="16"/>
      <c r="G133" s="16"/>
      <c r="H133" s="16"/>
      <c r="I133" s="16"/>
    </row>
    <row r="134" ht="36.0" customHeight="1">
      <c r="A134" s="14">
        <v>3.0</v>
      </c>
      <c r="B134" s="16"/>
      <c r="C134" s="16"/>
      <c r="D134" s="16"/>
      <c r="E134" s="16"/>
      <c r="F134" s="16"/>
      <c r="G134" s="16"/>
      <c r="H134" s="16"/>
      <c r="I134" s="16"/>
    </row>
    <row r="135" ht="36.0" customHeight="1">
      <c r="A135" s="14">
        <v>4.0</v>
      </c>
      <c r="B135" s="16"/>
      <c r="C135" s="16"/>
      <c r="D135" s="16"/>
      <c r="E135" s="16"/>
      <c r="F135" s="16"/>
      <c r="G135" s="16"/>
      <c r="H135" s="16"/>
      <c r="I135" s="16"/>
    </row>
    <row r="136" ht="36.0" customHeight="1">
      <c r="A136" s="14">
        <v>5.0</v>
      </c>
      <c r="B136" s="16"/>
      <c r="C136" s="16"/>
      <c r="D136" s="16"/>
      <c r="E136" s="16"/>
      <c r="F136" s="16"/>
      <c r="G136" s="16"/>
      <c r="H136" s="16"/>
      <c r="I136" s="16"/>
    </row>
    <row r="137" ht="15.75" customHeight="1"/>
    <row r="138" ht="15.0" customHeight="1">
      <c r="F138" s="3"/>
    </row>
    <row r="139" ht="15.0" customHeight="1">
      <c r="A139" s="1"/>
      <c r="F139" s="1"/>
    </row>
    <row r="140" ht="15.0" customHeight="1">
      <c r="A140" s="22"/>
      <c r="F140" s="22"/>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A2:I2"/>
    <mergeCell ref="A3:I3"/>
    <mergeCell ref="A4:I4"/>
    <mergeCell ref="A5:I5"/>
    <mergeCell ref="A6:I6"/>
    <mergeCell ref="A7:I7"/>
    <mergeCell ref="C14:C15"/>
    <mergeCell ref="D14:D15"/>
    <mergeCell ref="A139:C139"/>
    <mergeCell ref="A140:C140"/>
    <mergeCell ref="E14:E15"/>
    <mergeCell ref="F14:F15"/>
    <mergeCell ref="G14:G15"/>
    <mergeCell ref="H14:H15"/>
    <mergeCell ref="F138:I138"/>
    <mergeCell ref="F139:I139"/>
    <mergeCell ref="F140:I140"/>
    <mergeCell ref="I14:I15"/>
    <mergeCell ref="J14:J15"/>
    <mergeCell ref="A8:I8"/>
    <mergeCell ref="A9:I9"/>
    <mergeCell ref="A10:I10"/>
    <mergeCell ref="A11:I11"/>
    <mergeCell ref="A12:I12"/>
    <mergeCell ref="A14:A15"/>
    <mergeCell ref="B14:B15"/>
  </mergeCells>
  <dataValidations>
    <dataValidation type="list" allowBlank="1" sqref="E18:E22 E24:E28 E30:E34 E36:E40 E42:E46 E48:E52 E54:E58 E60:E64 E66:E70 E72:E76 E78:E82 E84:E88 E90:E94 E96:E100 E102:E106 E108:E112 E114:E118 E120:E124 E126:E130 E132:E136">
      <formula1>"Quy định pháp luật,Tổ chức thực hiện"</formula1>
    </dataValidation>
    <dataValidation type="list" allowBlank="1" sqref="H18:H22 H24:H28 H30:H34 H36:H40 H42:H46 H48:H52 H54:H58 H60:H64 H66:H70 H72:H76 H78:H82 H84:H88 H90:H94 H96:H100 H102:H106 H108:H112 H114:H118 H120:H124 H126:H130 H132:H136">
      <formula1>"Chính phủ,Bộ Nội vụ,Bộ Khoa học và Công nghệ,Bộ Tài chính,UBND tỉnh,Cơ quan khác"</formula1>
    </dataValidation>
    <dataValidation type="list" allowBlank="1" showInputMessage="1" showErrorMessage="1" prompt="Chọn nhóm vấn đề trong danh sách" sqref="B18:B22 B24:B28 B30:B34 B36:B40 B42:B46 B48:B52 B54:B58 B60:B64 B66:B70 B72:B76 B78:B82 B84:B88 B90:B94 B96:B100 B102:B106 B108:B112 B114:B118 B120:B124 B126:B130 B132:B136">
      <formula1>NhomVanDe</formula1>
    </dataValidation>
  </dataValidations>
  <printOptions/>
  <pageMargins bottom="0.5" footer="0.0" header="0.0" left="0.4" right="0.4" top="0.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3" t="s">
        <v>77</v>
      </c>
    </row>
    <row r="2">
      <c r="A2" s="23" t="s">
        <v>170</v>
      </c>
    </row>
    <row r="3">
      <c r="A3" s="23" t="s">
        <v>171</v>
      </c>
    </row>
    <row r="4">
      <c r="A4" s="23" t="s">
        <v>172</v>
      </c>
    </row>
    <row r="5">
      <c r="A5" s="23" t="s">
        <v>173</v>
      </c>
    </row>
    <row r="6">
      <c r="A6" s="23" t="s">
        <v>174</v>
      </c>
    </row>
    <row r="7">
      <c r="A7" s="23" t="s">
        <v>175</v>
      </c>
    </row>
    <row r="8">
      <c r="A8" s="23" t="s">
        <v>176</v>
      </c>
    </row>
    <row r="9">
      <c r="A9" s="23" t="s">
        <v>177</v>
      </c>
    </row>
    <row r="10">
      <c r="A10" s="23" t="s">
        <v>178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